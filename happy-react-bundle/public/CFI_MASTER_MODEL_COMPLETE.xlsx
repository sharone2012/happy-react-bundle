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NTENTS" sheetId="1" state="visible" r:id="rId1"/>
    <sheet name="0A_PROGRAM_OVERVIEW" sheetId="2" state="visible" r:id="rId2"/>
    <sheet name="0B_STAGE_SUMMARY" sheetId="3" state="visible" r:id="rId3"/>
    <sheet name="0C_QUICK_START" sheetId="4" state="visible" r:id="rId4"/>
    <sheet name="0D_ECONOMICS_SUMMARY" sheetId="5" state="visible" r:id="rId5"/>
    <sheet name="1_INPUT_CONTROL" sheetId="6" state="visible" r:id="rId6"/>
    <sheet name="1A_OPEX_REFERENCE" sheetId="7" state="visible" r:id="rId7"/>
    <sheet name="2_STAGE0_MECHANICAL" sheetId="8" state="visible" r:id="rId8"/>
    <sheet name="3_STAGE1_CHEMICAL" sheetId="9" state="visible" r:id="rId9"/>
    <sheet name="3B_GREENHOUSE_SPEC" sheetId="10" state="visible" r:id="rId10"/>
    <sheet name="4_STAGE2_BIOLOGICAL" sheetId="11" state="visible" r:id="rId11"/>
    <sheet name="4G_GREENHOUSE_SPEC" sheetId="12" state="visible" r:id="rId12"/>
    <sheet name="4H_STAGE2_RESULTS" sheetId="13" state="visible" r:id="rId13"/>
    <sheet name="5_STAGE3_COMPOST" sheetId="14" state="visible" r:id="rId14"/>
    <sheet name="5A_PRODUCT_SPECS" sheetId="15" state="visible" r:id="rId15"/>
    <sheet name="6_STAGE4_BSF" sheetId="16" state="visible" r:id="rId16"/>
    <sheet name="7_STAGE5_DRYPACK" sheetId="17" state="visible" r:id="rId17"/>
    <sheet name="8_STAGE6_ENHANCE" sheetId="18" state="visible" r:id="rId18"/>
    <sheet name="9_PATHWAY_SCENARIOS" sheetId="19" state="visible" r:id="rId19"/>
    <sheet name="9A_PLANTATION_COMBINATIONS" sheetId="20" state="visible" r:id="rId20"/>
    <sheet name="10_COST_TRACKING_MASTE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70C0"/>
      <sz val="10"/>
    </font>
    <font>
      <name val="Calibri"/>
      <b val="1"/>
      <color rgb="001F4E78"/>
      <sz val="16"/>
    </font>
    <font>
      <name val="Calibri"/>
      <i val="1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sz val="10"/>
    </font>
    <font>
      <name val="Calibri"/>
      <b val="1"/>
      <color rgb="00C00000"/>
      <sz val="11"/>
    </font>
    <font>
      <b val="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4" borderId="1" pivotButton="0" quotePrefix="0" xfId="0"/>
    <xf numFmtId="4" fontId="0" fillId="4" borderId="1" pivotButton="0" quotePrefix="0" xfId="0"/>
    <xf numFmtId="164" fontId="0" fillId="0" borderId="1" pivotButton="0" quotePrefix="0" xfId="0"/>
    <xf numFmtId="0" fontId="2" fillId="5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0" borderId="1" pivotButton="0" quotePrefix="0" xfId="0"/>
    <xf numFmtId="0" fontId="7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1" pivotButton="0" quotePrefix="0" xfId="0"/>
    <xf numFmtId="0" fontId="4" fillId="7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8" fillId="0" borderId="0" pivotButton="0" quotePrefix="0" xfId="0"/>
    <xf numFmtId="0" fontId="0" fillId="7" borderId="0" pivotButton="0" quotePrefix="0" xfId="0"/>
    <xf numFmtId="0" fontId="9" fillId="0" borderId="0" pivotButton="0" quotePrefix="0" xfId="0"/>
    <xf numFmtId="0" fontId="7" fillId="6" borderId="0" pivotButton="0" quotePrefix="0" xfId="0"/>
    <xf numFmtId="0" fontId="8" fillId="8" borderId="0" pivotButton="0" quotePrefix="0" xfId="0"/>
    <xf numFmtId="0" fontId="0" fillId="8" borderId="1" pivotButton="0" quotePrefix="0" xfId="0"/>
    <xf numFmtId="0" fontId="11" fillId="5" borderId="0" applyAlignment="1" pivotButton="0" quotePrefix="0" xfId="0">
      <alignment horizontal="center"/>
    </xf>
    <xf numFmtId="0" fontId="8" fillId="9" borderId="0" pivotButton="0" quotePrefix="0" xfId="0"/>
    <xf numFmtId="0" fontId="11" fillId="10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6" customWidth="1" min="4" max="4"/>
  </cols>
  <sheetData>
    <row r="1" ht="25" customHeight="1">
      <c r="A1" s="1" t="inlineStr">
        <is>
          <t>CFI MASTER MODEL - COMPLETE NAVIGATION</t>
        </is>
      </c>
    </row>
    <row r="3">
      <c r="A3" s="2" t="inlineStr">
        <is>
          <t>SECTION</t>
        </is>
      </c>
      <c r="B3" s="2" t="inlineStr">
        <is>
          <t>SHEET NAME</t>
        </is>
      </c>
      <c r="C3" s="2" t="inlineStr">
        <is>
          <t>PURPOSE</t>
        </is>
      </c>
      <c r="D3" s="2" t="inlineStr">
        <is>
          <t>TAB</t>
        </is>
      </c>
    </row>
    <row r="4">
      <c r="A4" s="3" t="inlineStr">
        <is>
          <t>NAVIGATION</t>
        </is>
      </c>
      <c r="B4" s="3" t="inlineStr">
        <is>
          <t>0_CONTENTS</t>
        </is>
      </c>
      <c r="C4" s="3" t="inlineStr">
        <is>
          <t>Sheet navigation &amp; overview</t>
        </is>
      </c>
      <c r="D4" s="3" t="n">
        <v>1</v>
      </c>
    </row>
    <row r="5">
      <c r="A5" s="3" t="inlineStr"/>
      <c r="B5" s="3" t="inlineStr">
        <is>
          <t>0A_PROGRAM_OVERVIEW</t>
        </is>
      </c>
      <c r="C5" s="3" t="inlineStr">
        <is>
          <t>5-slide visual summary of program</t>
        </is>
      </c>
      <c r="D5" s="3" t="n">
        <v>2</v>
      </c>
    </row>
    <row r="6">
      <c r="A6" s="3" t="inlineStr"/>
      <c r="B6" s="3" t="inlineStr">
        <is>
          <t>0B_STAGE_SUMMARY</t>
        </is>
      </c>
      <c r="C6" s="3" t="inlineStr">
        <is>
          <t>Executive summary table</t>
        </is>
      </c>
      <c r="D6" s="3" t="n">
        <v>3</v>
      </c>
    </row>
    <row r="7">
      <c r="A7" s="3" t="inlineStr"/>
      <c r="B7" s="3" t="inlineStr">
        <is>
          <t>0C_QUICK_START</t>
        </is>
      </c>
      <c r="C7" s="3" t="inlineStr">
        <is>
          <t>Scenario recommendation tool</t>
        </is>
      </c>
      <c r="D7" s="3" t="n">
        <v>4</v>
      </c>
    </row>
    <row r="8">
      <c r="A8" s="3" t="inlineStr"/>
      <c r="B8" s="3" t="inlineStr">
        <is>
          <t>0D_ECONOMICS_SUMMARY</t>
        </is>
      </c>
      <c r="C8" s="3" t="inlineStr">
        <is>
          <t>Cost/time/revenue comparison</t>
        </is>
      </c>
      <c r="D8" s="3" t="n">
        <v>5</v>
      </c>
    </row>
    <row r="9">
      <c r="A9" s="3" t="inlineStr">
        <is>
          <t>CONTROL</t>
        </is>
      </c>
      <c r="B9" s="3" t="inlineStr">
        <is>
          <t>1_INPUT_CONTROL</t>
        </is>
      </c>
      <c r="C9" s="3" t="inlineStr">
        <is>
          <t>Master control - dropdown selections</t>
        </is>
      </c>
      <c r="D9" s="3" t="n">
        <v>6</v>
      </c>
    </row>
    <row r="10">
      <c r="A10" s="3" t="inlineStr">
        <is>
          <t>STAGE 0</t>
        </is>
      </c>
      <c r="B10" s="3" t="inlineStr">
        <is>
          <t>2_STAGE0_MECHANICAL</t>
        </is>
      </c>
      <c r="C10" s="3" t="inlineStr">
        <is>
          <t>Mechanical shredding (5mm output)</t>
        </is>
      </c>
      <c r="D10" s="3" t="n">
        <v>7</v>
      </c>
    </row>
    <row r="11">
      <c r="A11" s="3" t="inlineStr">
        <is>
          <t>STAGE 1</t>
        </is>
      </c>
      <c r="B11" s="3" t="inlineStr">
        <is>
          <t>3_STAGE1_CHEMICAL</t>
        </is>
      </c>
      <c r="C11" s="3" t="inlineStr">
        <is>
          <t>Chemical pathways 1A-1F</t>
        </is>
      </c>
      <c r="D11" s="3" t="n">
        <v>8</v>
      </c>
    </row>
    <row r="12">
      <c r="A12" s="3" t="inlineStr"/>
      <c r="B12" s="3" t="inlineStr">
        <is>
          <t>3B_GREENHOUSE_SPEC</t>
        </is>
      </c>
      <c r="C12" s="3" t="inlineStr">
        <is>
          <t>Greenhouse A specifications</t>
        </is>
      </c>
      <c r="D12" s="3" t="n">
        <v>9</v>
      </c>
    </row>
    <row r="13">
      <c r="A13" s="3" t="inlineStr">
        <is>
          <t>STAGE 2</t>
        </is>
      </c>
      <c r="B13" s="3" t="inlineStr">
        <is>
          <t>4_STAGE2_BIOLOGICAL</t>
        </is>
      </c>
      <c r="C13" s="3" t="inlineStr">
        <is>
          <t>Biological pathways 2A-2F</t>
        </is>
      </c>
      <c r="D13" s="3" t="n">
        <v>10</v>
      </c>
    </row>
    <row r="14">
      <c r="A14" s="3" t="inlineStr"/>
      <c r="B14" s="3" t="inlineStr">
        <is>
          <t>4G_GREENHOUSE_SPEC</t>
        </is>
      </c>
      <c r="C14" s="3" t="inlineStr">
        <is>
          <t>Greenhouse B specifications</t>
        </is>
      </c>
      <c r="D14" s="3" t="n">
        <v>11</v>
      </c>
    </row>
    <row r="15">
      <c r="A15" s="3" t="inlineStr"/>
      <c r="B15" s="3" t="inlineStr">
        <is>
          <t>4H_STAGE2_RESULTS</t>
        </is>
      </c>
      <c r="C15" s="3" t="inlineStr">
        <is>
          <t>Nutrient targets &amp; maturity gates</t>
        </is>
      </c>
      <c r="D15" s="3" t="n">
        <v>12</v>
      </c>
    </row>
    <row r="16">
      <c r="A16" s="3" t="inlineStr">
        <is>
          <t>STAGE 3</t>
        </is>
      </c>
      <c r="B16" s="3" t="inlineStr">
        <is>
          <t>5_STAGE3_COMPOST</t>
        </is>
      </c>
      <c r="C16" s="3" t="inlineStr">
        <is>
          <t>Drying &amp; finishing (14 days)</t>
        </is>
      </c>
      <c r="D16" s="3" t="n">
        <v>13</v>
      </c>
    </row>
    <row r="17">
      <c r="A17" s="3" t="inlineStr"/>
      <c r="B17" s="3" t="inlineStr">
        <is>
          <t>5A_PRODUCT_SPECS</t>
        </is>
      </c>
      <c r="C17" s="3" t="inlineStr">
        <is>
          <t>Lab analysis - initial vs final</t>
        </is>
      </c>
      <c r="D17" s="3" t="n">
        <v>14</v>
      </c>
    </row>
    <row r="18">
      <c r="A18" s="3" t="inlineStr">
        <is>
          <t>STAGE 4-6</t>
        </is>
      </c>
      <c r="B18" s="3" t="inlineStr">
        <is>
          <t>6_STAGE4_BSF</t>
        </is>
      </c>
      <c r="C18" s="3" t="inlineStr">
        <is>
          <t>BSF inoculation &amp; monitoring</t>
        </is>
      </c>
      <c r="D18" s="3" t="n">
        <v>15</v>
      </c>
    </row>
    <row r="19">
      <c r="A19" s="3" t="inlineStr"/>
      <c r="B19" s="3" t="inlineStr">
        <is>
          <t>7_STAGE5_DRYPACK</t>
        </is>
      </c>
      <c r="C19" s="3" t="inlineStr">
        <is>
          <t>Harvest decision (Pathway A vs B)</t>
        </is>
      </c>
      <c r="D19" s="3" t="n">
        <v>16</v>
      </c>
    </row>
    <row r="20">
      <c r="A20" s="3" t="inlineStr"/>
      <c r="B20" s="3" t="inlineStr">
        <is>
          <t>8_STAGE6_ENHANCE</t>
        </is>
      </c>
      <c r="C20" s="3" t="inlineStr">
        <is>
          <t>Post-harvest (6A: finish, 6B: split)</t>
        </is>
      </c>
      <c r="D20" s="3" t="n">
        <v>17</v>
      </c>
    </row>
    <row r="21">
      <c r="A21" s="3" t="inlineStr">
        <is>
          <t>ECONOMICS</t>
        </is>
      </c>
      <c r="B21" s="3" t="inlineStr">
        <is>
          <t>9_PATHWAY_SCENARIOS</t>
        </is>
      </c>
      <c r="C21" s="3" t="inlineStr">
        <is>
          <t>5 scenarios: cost, time, products</t>
        </is>
      </c>
      <c r="D21" s="3" t="n">
        <v>18</v>
      </c>
    </row>
    <row r="22">
      <c r="A22" s="3" t="inlineStr"/>
      <c r="B22" s="3" t="inlineStr">
        <is>
          <t>9A_PLANTATION_COMBINATIONS</t>
        </is>
      </c>
      <c r="C22" s="3" t="inlineStr">
        <is>
          <t>Company-specific recommendations</t>
        </is>
      </c>
      <c r="D22" s="3" t="n">
        <v>19</v>
      </c>
    </row>
    <row r="23">
      <c r="A23" s="3" t="inlineStr">
        <is>
          <t>COST TRACKING</t>
        </is>
      </c>
      <c r="B23" s="3" t="inlineStr">
        <is>
          <t>10_COST_TRACKING_MASTER</t>
        </is>
      </c>
      <c r="C23" s="3" t="inlineStr">
        <is>
          <t>All-in-one cost calculation</t>
        </is>
      </c>
      <c r="D23" s="3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0A PROGRAM OVERVIEW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0B STAGE SUMMARY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0C QUICK START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0D ECONOMICS SUMMARY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9" t="inlineStr">
        <is>
          <t>CIRCULAR FARMING INDONESIA (CFI)</t>
        </is>
      </c>
    </row>
    <row r="2" ht="20" customHeight="1">
      <c r="A2" s="10" t="inlineStr">
        <is>
          <t>Master Control - Select Your Scenario &amp; Inputs</t>
        </is>
      </c>
    </row>
    <row r="3">
      <c r="A3" s="11" t="n"/>
      <c r="B3" s="11" t="n"/>
      <c r="C3" s="11" t="n"/>
      <c r="D3" s="11" t="n"/>
    </row>
    <row r="4">
      <c r="A4" s="12" t="inlineStr">
        <is>
          <t>INPUT PARAMETERS</t>
        </is>
      </c>
      <c r="B4" s="13" t="n"/>
      <c r="C4" s="13" t="n"/>
      <c r="D4" s="13" t="n"/>
      <c r="E4" s="14" t="n"/>
    </row>
    <row r="5">
      <c r="A5" s="15" t="inlineStr">
        <is>
          <t>Residue Type</t>
        </is>
      </c>
      <c r="B5" s="16" t="inlineStr">
        <is>
          <t>None</t>
        </is>
      </c>
      <c r="C5" s="17" t="inlineStr">
        <is>
          <t>Source material (None | EFB | OPDC | PKS | Mixed)</t>
        </is>
      </c>
      <c r="D5" s="3" t="n"/>
    </row>
    <row r="6">
      <c r="A6" s="15" t="inlineStr">
        <is>
          <t>Tonnes Input</t>
        </is>
      </c>
      <c r="B6" s="16" t="n">
        <v>100</v>
      </c>
      <c r="C6" s="17" t="inlineStr">
        <is>
          <t>Amount to process (must be &gt; 0 tonnes)</t>
        </is>
      </c>
      <c r="D6" s="3" t="n"/>
    </row>
    <row r="7">
      <c r="A7" s="15" t="inlineStr">
        <is>
          <t>Mill Selection</t>
        </is>
      </c>
      <c r="B7" s="16" t="inlineStr">
        <is>
          <t>Wilmar</t>
        </is>
      </c>
      <c r="C7" s="17" t="inlineStr">
        <is>
          <t>Which mill's specs to use (Wilmar | GAR | Astra | Custom)</t>
        </is>
      </c>
      <c r="D7" s="3" t="n"/>
    </row>
    <row r="8">
      <c r="A8" s="18" t="inlineStr">
        <is>
          <t>*** SCENARIO SELECTION (Choose one) ***</t>
        </is>
      </c>
      <c r="B8" s="13" t="n"/>
      <c r="C8" s="13" t="n"/>
      <c r="D8" s="13" t="n"/>
      <c r="E8" s="14" t="n"/>
    </row>
    <row r="9">
      <c r="A9" s="15" t="inlineStr">
        <is>
          <t>Select Scenario</t>
        </is>
      </c>
      <c r="B9" s="16" t="inlineStr">
        <is>
          <t>1</t>
        </is>
      </c>
      <c r="C9" s="17" t="inlineStr">
        <is>
          <t>Choose 1, 2, 3A, 3B, or 4 - determines which stages to process</t>
        </is>
      </c>
      <c r="D9" s="3" t="n"/>
    </row>
    <row r="10">
      <c r="A10" s="15" t="inlineStr">
        <is>
          <t>Chemical Pathway (S1)</t>
        </is>
      </c>
      <c r="B10" s="16" t="inlineStr">
        <is>
          <t>1A</t>
        </is>
      </c>
      <c r="C10" s="17" t="inlineStr">
        <is>
          <t>Stage 1 chemical treatment (1A-1F pathways)</t>
        </is>
      </c>
      <c r="D10" s="3" t="n"/>
    </row>
    <row r="11">
      <c r="A11" s="15" t="inlineStr">
        <is>
          <t>Biological Pathway (S2)</t>
        </is>
      </c>
      <c r="B11" s="16" t="inlineStr">
        <is>
          <t>2A</t>
        </is>
      </c>
      <c r="C11" s="17" t="inlineStr">
        <is>
          <t>Stage 2 inoculation &amp; fermentation (2A-2F pathways)</t>
        </is>
      </c>
      <c r="D11" s="3" t="n"/>
    </row>
    <row r="12">
      <c r="A12" s="19" t="inlineStr">
        <is>
          <t>Compost Pathway (S3)</t>
        </is>
      </c>
      <c r="B12" s="20" t="inlineStr">
        <is>
          <t>3A</t>
        </is>
      </c>
      <c r="C12" s="21" t="inlineStr">
        <is>
          <t>Stage 3 finishing method (3A Standard | 3B Enhanced)</t>
        </is>
      </c>
    </row>
    <row r="13">
      <c r="A13" s="19" t="inlineStr">
        <is>
          <t>BSF Pathway (S4)*</t>
        </is>
      </c>
      <c r="B13" s="20" t="inlineStr">
        <is>
          <t>4A</t>
        </is>
      </c>
      <c r="C13" s="21" t="inlineStr">
        <is>
          <t>Stage 4 BSF extraction (4A | 4B) - required only if Scenario 3A/3B</t>
        </is>
      </c>
    </row>
    <row r="15">
      <c r="A15" s="22" t="inlineStr">
        <is>
          <t>SCENARIO SUMMARY</t>
        </is>
      </c>
    </row>
    <row r="16">
      <c r="A16" s="23" t="inlineStr">
        <is>
          <t>Scenario Name</t>
        </is>
      </c>
      <c r="B16" s="24">
        <f>IFERROR(VLOOKUP(B9,9_PATHWAY_SCENARIOS!A:B,2,0),"Select a scenario")</f>
        <v/>
      </c>
    </row>
    <row r="17">
      <c r="A17" s="23" t="inlineStr">
        <is>
          <t>Cost per Ton</t>
        </is>
      </c>
      <c r="B17" s="24">
        <f>IFERROR(VLOOKUP(B9,9_PATHWAY_SCENARIOS!A:C,3,0),"") &amp; " $/ton"</f>
        <v/>
      </c>
    </row>
    <row r="18">
      <c r="A18" s="23" t="inlineStr">
        <is>
          <t>Timeline</t>
        </is>
      </c>
      <c r="B18" s="24">
        <f>IFERROR(VLOOKUP(B9,9_PATHWAY_SCENARIOS!A:D,4,0),"") &amp; " days"</f>
        <v/>
      </c>
    </row>
    <row r="19">
      <c r="A19" s="23" t="inlineStr">
        <is>
          <t>Number of Products</t>
        </is>
      </c>
      <c r="B19" s="24">
        <f>IFERROR(VLOOKUP(B9,9_PATHWAY_SCENARIOS!A:E,5,0),"")</f>
        <v/>
      </c>
    </row>
    <row r="20">
      <c r="A20" s="23" t="inlineStr">
        <is>
          <t>Stages Used</t>
        </is>
      </c>
      <c r="B20" s="24">
        <f>IFERROR(VLOOKUP(B9,9_PATHWAY_SCENARIOS!A:F,6,0),"") &amp; " (0→1→2→3→4→5→6)"</f>
        <v/>
      </c>
    </row>
    <row r="22">
      <c r="A22" s="22" t="inlineStr">
        <is>
          <t>STAGE PATHWAY VISUALIZATION</t>
        </is>
      </c>
    </row>
    <row r="23">
      <c r="A23" s="19" t="inlineStr">
        <is>
          <t>Stages 0-3: Base Processing</t>
        </is>
      </c>
    </row>
    <row r="24" ht="30" customHeight="1">
      <c r="A24" s="25" t="inlineStr">
        <is>
          <t>Stage 0: MECHANICAL</t>
        </is>
      </c>
      <c r="B24" s="25" t="inlineStr">
        <is>
          <t>Stage 1: CHEMICAL</t>
        </is>
      </c>
      <c r="C24" s="25" t="inlineStr">
        <is>
          <t>Stage 2: BIOLOGICAL</t>
        </is>
      </c>
      <c r="D24" s="25" t="inlineStr">
        <is>
          <t>Stage 3: COMPOST</t>
        </is>
      </c>
    </row>
    <row r="26">
      <c r="A26" s="26" t="inlineStr">
        <is>
          <t>Stages 4-6: BSF &amp; Extraction (if Scenario 3A or 3B)</t>
        </is>
      </c>
    </row>
    <row r="27" ht="30" customHeight="1">
      <c r="A27" s="27">
        <f>IF(OR(B9="3A",B9="3B"),"Stage 4: BSF","[Not used]")</f>
        <v/>
      </c>
      <c r="B27" s="27">
        <f>IF(OR(B9="3A",B9="3B"),"Stage 5: HARVEST","[Not used]")</f>
        <v/>
      </c>
      <c r="C27" s="27">
        <f>IF(OR(B9="3A",B9="3B"),"Stage 6: ENHANCEMENT","[Not used]")</f>
        <v/>
      </c>
    </row>
    <row r="29">
      <c r="A29" s="22" t="inlineStr">
        <is>
          <t>INPUT VALIDATION</t>
        </is>
      </c>
    </row>
    <row r="30">
      <c r="A30" s="19" t="inlineStr">
        <is>
          <t>Status</t>
        </is>
      </c>
      <c r="B30" s="15">
        <f>IF(AND(B5&lt;&gt;"",B6&gt;0,B7&lt;&gt;"",B9&lt;&gt;"",B10&lt;&gt;"",B11&lt;&gt;"",B12&lt;&gt;""),"✓ All inputs valid - Ready to process!","✗ Please complete all required inputs")</f>
        <v/>
      </c>
    </row>
    <row r="31">
      <c r="A31" s="19" t="inlineStr">
        <is>
          <t>Notes</t>
        </is>
      </c>
      <c r="B31" s="28">
        <f>IF(OR(B9="3A",B9="3B"),"Note: BSF Pathway (S4) is required for scenarios 3A/3B","All input fields are optional except core inputs")</f>
        <v/>
      </c>
    </row>
  </sheetData>
  <mergeCells count="7">
    <mergeCell ref="A29:E29"/>
    <mergeCell ref="A4:E4"/>
    <mergeCell ref="A2:E2"/>
    <mergeCell ref="A15:E15"/>
    <mergeCell ref="A1:E1"/>
    <mergeCell ref="A8:E8"/>
    <mergeCell ref="A22:E22"/>
  </mergeCells>
  <dataValidations count="15">
    <dataValidation sqref="B4" showDropDown="0" showInputMessage="0" showErrorMessage="0" allowBlank="0" error="Please select a valid residue type" type="list">
      <formula1>"None,EFB,OPDC,PKS,Mixed"</formula1>
    </dataValidation>
    <dataValidation sqref="B6" showDropDown="0" showInputMessage="0" showErrorMessage="0" allowBlank="0" error="Please select a valid mill" type="list">
      <formula1>"Wilmar,GAR,Astra,Custom"</formula1>
    </dataValidation>
    <dataValidation sqref="B7" showDropDown="0" showInputMessage="0" showErrorMessage="0" allowBlank="0" error="Please select a valid scenario" type="list">
      <formula1>"1,2,3A,3B,4"</formula1>
    </dataValidation>
    <dataValidation sqref="B8" showDropDown="0" showInputMessage="0" showErrorMessage="0" allowBlank="0" error="Please select a valid chemical pathway" type="list">
      <formula1>"1A,1B,1C,1D,1E,1F"</formula1>
    </dataValidation>
    <dataValidation sqref="B9" showDropDown="0" showInputMessage="0" showErrorMessage="0" allowBlank="0" error="Please select a valid biological pathway" type="list">
      <formula1>"2A,2B,2C,2D,2E,2F"</formula1>
    </dataValidation>
    <dataValidation sqref="B10" showDropDown="0" showInputMessage="0" showErrorMessage="0" allowBlank="0" error="Please select 3A or 3B" type="list">
      <formula1>"3A,3B"</formula1>
    </dataValidation>
    <dataValidation sqref="B11" showDropDown="0" showInputMessage="0" showErrorMessage="0" allowBlank="0" error="Please select 4A or 4B" type="list">
      <formula1>"4A,4B"</formula1>
    </dataValidation>
    <dataValidation sqref="B5" showDropDown="0" showInputMessage="0" showErrorMessage="0" allowBlank="0" errorTitle="Invalid Input" error="Please select a valid residue type" type="list">
      <formula1>"None,EFB,OPDC,PKS,Mixed"</formula1>
    </dataValidation>
    <dataValidation sqref="B6" showDropDown="0" showInputMessage="0" showErrorMessage="0" allowBlank="0" errorTitle="Invalid Input" error="Tonnes input must be greater than 0" type="decimal" operator="greaterThan">
      <formula1>0</formula1>
    </dataValidation>
    <dataValidation sqref="B7" showDropDown="0" showInputMessage="0" showErrorMessage="0" allowBlank="0" errorTitle="Invalid Input" error="Please select a valid mill" type="list">
      <formula1>"Wilmar,GAR,Astra,Custom"</formula1>
    </dataValidation>
    <dataValidation sqref="B9" showDropDown="0" showInputMessage="0" showErrorMessage="0" allowBlank="0" errorTitle="Invalid Input" error="Please select a valid scenario: 1, 2, 3A, 3B, or 4" type="list">
      <formula1>"1,2,3A,3B,4"</formula1>
    </dataValidation>
    <dataValidation sqref="B10" showDropDown="0" showInputMessage="0" showErrorMessage="0" allowBlank="0" errorTitle="Invalid Input" error="Please select a valid chemical pathway: 1A-1F" type="list">
      <formula1>"1A,1B,1C,1D,1E,1F"</formula1>
    </dataValidation>
    <dataValidation sqref="B11" showDropDown="0" showInputMessage="0" showErrorMessage="0" allowBlank="0" errorTitle="Invalid Input" error="Please select a valid biological pathway: 2A-2F" type="list">
      <formula1>"2A,2B,2C,2D,2E,2F"</formula1>
    </dataValidation>
    <dataValidation sqref="B12" showDropDown="0" showInputMessage="0" showErrorMessage="0" allowBlank="0" errorTitle="Invalid Input" error="Please select a valid compost pathway: 3A or 3B" type="list">
      <formula1>"3A,3B"</formula1>
    </dataValidation>
    <dataValidation sqref="B13" showDropDown="0" showInputMessage="0" showErrorMessage="0" allowBlank="0" errorTitle="Invalid Input" error="Please select a valid BSF pathway: 4A or 4B" type="list">
      <formula1>"4A,4B"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 ht="25" customHeight="1">
      <c r="A1" s="1" t="inlineStr">
        <is>
          <t>OPEX REFERENCE - User-Fillable Rates</t>
        </is>
      </c>
    </row>
    <row r="3">
      <c r="A3" s="2" t="inlineStr">
        <is>
          <t>OPEX CATEGORY</t>
        </is>
      </c>
      <c r="B3" s="2" t="inlineStr">
        <is>
          <t>UNIT</t>
        </is>
      </c>
      <c r="C3" s="2" t="inlineStr">
        <is>
          <t>YOUR COST</t>
        </is>
      </c>
    </row>
    <row r="4">
      <c r="A4" s="3" t="inlineStr">
        <is>
          <t>Fuel</t>
        </is>
      </c>
      <c r="B4" s="3" t="inlineStr">
        <is>
          <t>$/liter</t>
        </is>
      </c>
      <c r="C4" s="6" t="n"/>
    </row>
    <row r="5">
      <c r="A5" s="3" t="inlineStr">
        <is>
          <t>Transport</t>
        </is>
      </c>
      <c r="B5" s="3" t="inlineStr">
        <is>
          <t>$/km</t>
        </is>
      </c>
      <c r="C5" s="6" t="n"/>
    </row>
    <row r="6">
      <c r="A6" s="3" t="inlineStr">
        <is>
          <t>Drivers</t>
        </is>
      </c>
      <c r="B6" s="3" t="inlineStr">
        <is>
          <t>$/day</t>
        </is>
      </c>
      <c r="C6" s="6" t="n"/>
    </row>
    <row r="7">
      <c r="A7" s="3" t="inlineStr">
        <is>
          <t>Machine Operators</t>
        </is>
      </c>
      <c r="B7" s="3" t="inlineStr">
        <is>
          <t>$/day</t>
        </is>
      </c>
      <c r="C7" s="6" t="n"/>
    </row>
    <row r="8">
      <c r="A8" s="3" t="inlineStr">
        <is>
          <t>Greenhouse Operators</t>
        </is>
      </c>
      <c r="B8" s="3" t="inlineStr">
        <is>
          <t>$/day</t>
        </is>
      </c>
      <c r="C8" s="6" t="n"/>
    </row>
    <row r="9">
      <c r="A9" s="3" t="inlineStr">
        <is>
          <t>Electricity</t>
        </is>
      </c>
      <c r="B9" s="3" t="inlineStr">
        <is>
          <t>$/kWh</t>
        </is>
      </c>
      <c r="C9" s="6" t="n"/>
    </row>
    <row r="10">
      <c r="A10" s="3" t="inlineStr">
        <is>
          <t>Water</t>
        </is>
      </c>
      <c r="B10" s="3" t="inlineStr">
        <is>
          <t>$/m³</t>
        </is>
      </c>
      <c r="C10" s="6" t="n"/>
    </row>
    <row r="11">
      <c r="A11" s="3" t="inlineStr">
        <is>
          <t>Lab Analysis</t>
        </is>
      </c>
      <c r="B11" s="3" t="inlineStr">
        <is>
          <t>$/sample</t>
        </is>
      </c>
      <c r="C11" s="6" t="n"/>
    </row>
    <row r="12">
      <c r="A12" s="3" t="inlineStr">
        <is>
          <t>Packaging</t>
        </is>
      </c>
      <c r="B12" s="3" t="inlineStr">
        <is>
          <t>$/ton</t>
        </is>
      </c>
      <c r="C12" s="6" t="n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2 STAGE0 MECHANICAL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</cols>
  <sheetData>
    <row r="1" ht="25" customHeight="1">
      <c r="A1" s="1" t="inlineStr">
        <is>
          <t>STAGE 1 - CHEMICAL PATHWAYS REFERENCE</t>
        </is>
      </c>
    </row>
    <row r="3">
      <c r="A3" s="2" t="inlineStr">
        <is>
          <t>CODE</t>
        </is>
      </c>
      <c r="B3" s="2" t="inlineStr">
        <is>
          <t>PATHWAY NAME</t>
        </is>
      </c>
      <c r="C3" s="2" t="inlineStr">
        <is>
          <t>COST ($/ton)</t>
        </is>
      </c>
      <c r="D3" s="2" t="inlineStr">
        <is>
          <t>TIMELINE (days)</t>
        </is>
      </c>
    </row>
    <row r="4">
      <c r="A4" s="3" t="inlineStr">
        <is>
          <t>1A</t>
        </is>
      </c>
      <c r="B4" s="3" t="inlineStr">
        <is>
          <t>CaCO₃</t>
        </is>
      </c>
      <c r="C4" s="7" t="n">
        <v>2.5</v>
      </c>
      <c r="D4" s="3" t="n">
        <v>3</v>
      </c>
    </row>
    <row r="5">
      <c r="A5" s="3" t="inlineStr">
        <is>
          <t>1B</t>
        </is>
      </c>
      <c r="B5" s="3" t="inlineStr">
        <is>
          <t>NaOH</t>
        </is>
      </c>
      <c r="C5" s="7" t="n">
        <v>4.2</v>
      </c>
      <c r="D5" s="3" t="n">
        <v>2</v>
      </c>
    </row>
    <row r="6">
      <c r="A6" s="3" t="inlineStr">
        <is>
          <t>1C</t>
        </is>
      </c>
      <c r="B6" s="3" t="inlineStr">
        <is>
          <t>H₂SO₄</t>
        </is>
      </c>
      <c r="C6" s="7" t="n">
        <v>3.8</v>
      </c>
      <c r="D6" s="3" t="n">
        <v>2</v>
      </c>
    </row>
    <row r="7">
      <c r="A7" s="3" t="inlineStr">
        <is>
          <t>1D</t>
        </is>
      </c>
      <c r="B7" s="3" t="inlineStr">
        <is>
          <t>AHP</t>
        </is>
      </c>
      <c r="C7" s="7" t="n">
        <v>6.5</v>
      </c>
      <c r="D7" s="3" t="n">
        <v>3</v>
      </c>
    </row>
    <row r="8">
      <c r="A8" s="3" t="inlineStr">
        <is>
          <t>1E</t>
        </is>
      </c>
      <c r="B8" s="3" t="inlineStr">
        <is>
          <t>Hot Water</t>
        </is>
      </c>
      <c r="C8" s="7" t="n">
        <v>3.2</v>
      </c>
      <c r="D8" s="3" t="n">
        <v>4</v>
      </c>
    </row>
    <row r="9">
      <c r="A9" s="3" t="inlineStr">
        <is>
          <t>1F</t>
        </is>
      </c>
      <c r="B9" s="3" t="inlineStr">
        <is>
          <t>Enzyme</t>
        </is>
      </c>
      <c r="C9" s="7" t="n">
        <v>8</v>
      </c>
      <c r="D9" s="3" t="n">
        <v>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3B GREENHOUSE SPEC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</cols>
  <sheetData>
    <row r="1" ht="25" customHeight="1">
      <c r="A1" s="1" t="inlineStr">
        <is>
          <t>STAGE 2 - BIOLOGICAL PATHWAYS REFERENCE</t>
        </is>
      </c>
    </row>
    <row r="3">
      <c r="A3" s="2" t="inlineStr">
        <is>
          <t>CODE</t>
        </is>
      </c>
      <c r="B3" s="2" t="inlineStr">
        <is>
          <t>PATHWAY NAME</t>
        </is>
      </c>
      <c r="C3" s="2" t="inlineStr">
        <is>
          <t>COST ($/ton)</t>
        </is>
      </c>
      <c r="D3" s="2" t="inlineStr">
        <is>
          <t>TIMELINE (days)</t>
        </is>
      </c>
    </row>
    <row r="4">
      <c r="A4" s="3" t="inlineStr">
        <is>
          <t>2A</t>
        </is>
      </c>
      <c r="B4" s="3" t="inlineStr">
        <is>
          <t>Provibio-Only</t>
        </is>
      </c>
      <c r="C4" s="7" t="n">
        <v>5.5</v>
      </c>
      <c r="D4" s="3" t="n">
        <v>30</v>
      </c>
    </row>
    <row r="5">
      <c r="A5" s="3" t="inlineStr">
        <is>
          <t>2B</t>
        </is>
      </c>
      <c r="B5" s="3" t="inlineStr">
        <is>
          <t>Enzyme+Provibio</t>
        </is>
      </c>
      <c r="C5" s="7" t="n">
        <v>13.5</v>
      </c>
      <c r="D5" s="3" t="n">
        <v>28</v>
      </c>
    </row>
    <row r="6">
      <c r="A6" s="3" t="inlineStr">
        <is>
          <t>2C</t>
        </is>
      </c>
      <c r="B6" s="3" t="inlineStr">
        <is>
          <t>Enhanced Bio</t>
        </is>
      </c>
      <c r="C6" s="7" t="n">
        <v>16.2</v>
      </c>
      <c r="D6" s="3" t="n">
        <v>35</v>
      </c>
    </row>
    <row r="7">
      <c r="A7" s="3" t="inlineStr">
        <is>
          <t>2D</t>
        </is>
      </c>
      <c r="B7" s="3" t="inlineStr">
        <is>
          <t>Rapid Bio</t>
        </is>
      </c>
      <c r="C7" s="7" t="n">
        <v>12</v>
      </c>
      <c r="D7" s="3" t="n">
        <v>18</v>
      </c>
    </row>
    <row r="8">
      <c r="A8" s="3" t="inlineStr">
        <is>
          <t>2E</t>
        </is>
      </c>
      <c r="B8" s="3" t="inlineStr">
        <is>
          <t>BSF-Prep</t>
        </is>
      </c>
      <c r="C8" s="7" t="n">
        <v>6.5</v>
      </c>
      <c r="D8" s="3" t="n">
        <v>25</v>
      </c>
    </row>
    <row r="9">
      <c r="A9" s="3" t="inlineStr">
        <is>
          <t>2F</t>
        </is>
      </c>
      <c r="B9" s="3" t="inlineStr">
        <is>
          <t>Custom</t>
        </is>
      </c>
      <c r="C9" s="7" t="n">
        <v>10</v>
      </c>
      <c r="D9" s="3" t="n">
        <v>30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4G GREENHOUSE SPEC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4H STAGE2 RESULTS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5 STAGE3 COMPOST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5A PRODUCT SPECS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6 STAGE4 BSF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7 STAGE5 DRYPACK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8 STAGE6 ENHANCE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0" customWidth="1" min="5" max="5"/>
    <col width="12" customWidth="1" min="6" max="6"/>
  </cols>
  <sheetData>
    <row r="1" ht="25" customHeight="1">
      <c r="A1" s="1" t="inlineStr">
        <is>
          <t>PATHWAY SCENARIOS - Complete Comparison</t>
        </is>
      </c>
    </row>
    <row r="3">
      <c r="A3" s="2" t="inlineStr">
        <is>
          <t>SCENARIO</t>
        </is>
      </c>
      <c r="B3" s="2" t="inlineStr">
        <is>
          <t>NAME</t>
        </is>
      </c>
      <c r="C3" s="2" t="inlineStr">
        <is>
          <t>COST ($/ton)</t>
        </is>
      </c>
      <c r="D3" s="2" t="inlineStr">
        <is>
          <t>TIMELINE (days)</t>
        </is>
      </c>
      <c r="E3" s="2" t="inlineStr">
        <is>
          <t>PRODUCTS</t>
        </is>
      </c>
      <c r="F3" s="2" t="inlineStr">
        <is>
          <t>STAGES</t>
        </is>
      </c>
    </row>
    <row r="4">
      <c r="A4" s="3" t="inlineStr">
        <is>
          <t>1</t>
        </is>
      </c>
      <c r="B4" s="3" t="inlineStr">
        <is>
          <t>MVP Compost</t>
        </is>
      </c>
      <c r="C4" s="7" t="n">
        <v>10.7</v>
      </c>
      <c r="D4" s="3" t="n">
        <v>48</v>
      </c>
      <c r="E4" s="3" t="n">
        <v>1</v>
      </c>
      <c r="F4" s="3" t="inlineStr">
        <is>
          <t>0-3</t>
        </is>
      </c>
    </row>
    <row r="5">
      <c r="A5" s="3" t="inlineStr">
        <is>
          <t>2</t>
        </is>
      </c>
      <c r="B5" s="3" t="inlineStr">
        <is>
          <t>Premium Compost</t>
        </is>
      </c>
      <c r="C5" s="7" t="n">
        <v>26.2</v>
      </c>
      <c r="D5" s="3" t="n">
        <v>52</v>
      </c>
      <c r="E5" s="3" t="n">
        <v>1</v>
      </c>
      <c r="F5" s="3" t="inlineStr">
        <is>
          <t>0-3</t>
        </is>
      </c>
    </row>
    <row r="6">
      <c r="A6" s="3" t="inlineStr">
        <is>
          <t>3A</t>
        </is>
      </c>
      <c r="B6" s="3" t="inlineStr">
        <is>
          <t>Fertiliser with BSF Extracted</t>
        </is>
      </c>
      <c r="C6" s="7" t="n">
        <v>17.5</v>
      </c>
      <c r="D6" s="3" t="n">
        <v>66</v>
      </c>
      <c r="E6" s="3" t="n">
        <v>3</v>
      </c>
      <c r="F6" s="3" t="inlineStr">
        <is>
          <t>0-6</t>
        </is>
      </c>
    </row>
    <row r="7">
      <c r="A7" s="3" t="inlineStr">
        <is>
          <t>3B</t>
        </is>
      </c>
      <c r="B7" s="3" t="inlineStr">
        <is>
          <t>Enhanced BSF Inside</t>
        </is>
      </c>
      <c r="C7" s="7" t="n">
        <v>15.8</v>
      </c>
      <c r="D7" s="3" t="n">
        <v>65</v>
      </c>
      <c r="E7" s="3" t="n">
        <v>1</v>
      </c>
      <c r="F7" s="3" t="inlineStr">
        <is>
          <t>0-6</t>
        </is>
      </c>
    </row>
    <row r="8">
      <c r="A8" s="3" t="inlineStr">
        <is>
          <t>4</t>
        </is>
      </c>
      <c r="B8" s="3" t="inlineStr">
        <is>
          <t>Rapid Market</t>
        </is>
      </c>
      <c r="C8" s="7" t="n">
        <v>17.8</v>
      </c>
      <c r="D8" s="3" t="n">
        <v>34</v>
      </c>
      <c r="E8" s="3" t="n">
        <v>1</v>
      </c>
      <c r="F8" s="3" t="inlineStr">
        <is>
          <t>0-3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9A PLANTATION COMBINATIONS</t>
        </is>
      </c>
    </row>
    <row r="3">
      <c r="A3" t="inlineStr">
        <is>
          <t>[Tab Structure Defined]</t>
        </is>
      </c>
    </row>
    <row r="4">
      <c r="A4" s="4" t="inlineStr">
        <is>
          <t>Content to be completed in Phase 2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" t="inlineStr">
        <is>
          <t>COST TRACKING MASTER - All-In-One Cost Calculation</t>
        </is>
      </c>
    </row>
    <row r="3">
      <c r="A3" t="inlineStr">
        <is>
          <t>COST COMPONENT</t>
        </is>
      </c>
      <c r="B3" s="2" t="inlineStr">
        <is>
          <t>Scenario 1</t>
        </is>
      </c>
      <c r="C3" s="2" t="inlineStr">
        <is>
          <t>Scenario 2</t>
        </is>
      </c>
      <c r="D3" s="2" t="inlineStr">
        <is>
          <t>Scenario 3A</t>
        </is>
      </c>
      <c r="E3" s="2" t="inlineStr">
        <is>
          <t>Scenario 3B</t>
        </is>
      </c>
      <c r="F3" s="2" t="inlineStr">
        <is>
          <t>Scenario 4</t>
        </is>
      </c>
    </row>
    <row r="4">
      <c r="A4" s="3" t="inlineStr">
        <is>
          <t>COGS ITEMS</t>
        </is>
      </c>
      <c r="B4" s="3" t="n"/>
      <c r="C4" s="3" t="n"/>
      <c r="D4" s="3" t="n"/>
      <c r="E4" s="3" t="n"/>
      <c r="F4" s="3" t="n"/>
    </row>
    <row r="5">
      <c r="A5" s="3" t="inlineStr">
        <is>
          <t xml:space="preserve">  Palm Residue</t>
        </is>
      </c>
      <c r="B5" s="3" t="n"/>
      <c r="C5" s="3" t="n"/>
      <c r="D5" s="3" t="n"/>
      <c r="E5" s="3" t="n"/>
      <c r="F5" s="3" t="n"/>
    </row>
    <row r="6">
      <c r="A6" s="3" t="inlineStr">
        <is>
          <t xml:space="preserve">  Chemical (Stage 1)</t>
        </is>
      </c>
      <c r="B6" s="3" t="n"/>
      <c r="C6" s="3" t="n"/>
      <c r="D6" s="3" t="n"/>
      <c r="E6" s="3" t="n"/>
      <c r="F6" s="3" t="n"/>
    </row>
    <row r="7">
      <c r="A7" s="3" t="inlineStr">
        <is>
          <t xml:space="preserve">  Biological (Stage 2)</t>
        </is>
      </c>
      <c r="B7" s="3" t="n"/>
      <c r="C7" s="3" t="n"/>
      <c r="D7" s="3" t="n"/>
      <c r="E7" s="3" t="n"/>
      <c r="F7" s="3" t="n"/>
    </row>
    <row r="8">
      <c r="A8" s="3" t="inlineStr">
        <is>
          <t xml:space="preserve">  Compost Finishing (Stage 3)</t>
        </is>
      </c>
      <c r="B8" s="3" t="n"/>
      <c r="C8" s="3" t="n"/>
      <c r="D8" s="3" t="n"/>
      <c r="E8" s="3" t="n"/>
      <c r="F8" s="3" t="n"/>
    </row>
    <row r="9">
      <c r="A9" s="3" t="inlineStr">
        <is>
          <t xml:space="preserve">  BSF Inoculation (Stage 4)</t>
        </is>
      </c>
      <c r="B9" s="3" t="n"/>
      <c r="C9" s="3" t="n"/>
      <c r="D9" s="3" t="n"/>
      <c r="E9" s="3" t="n"/>
      <c r="F9" s="3" t="n"/>
    </row>
    <row r="10">
      <c r="A10" s="3" t="inlineStr">
        <is>
          <t xml:space="preserve">  BSF Processing (Stage 5-6)</t>
        </is>
      </c>
      <c r="B10" s="3" t="n"/>
      <c r="C10" s="3" t="n"/>
      <c r="D10" s="3" t="n"/>
      <c r="E10" s="3" t="n"/>
      <c r="F10" s="3" t="n"/>
    </row>
    <row r="11">
      <c r="A11" s="3" t="inlineStr"/>
      <c r="B11" s="3" t="n"/>
      <c r="C11" s="3" t="n"/>
      <c r="D11" s="3" t="n"/>
      <c r="E11" s="3" t="n"/>
      <c r="F11" s="3" t="n"/>
    </row>
    <row r="12">
      <c r="A12" s="3" t="inlineStr">
        <is>
          <t>OPEX ITEMS</t>
        </is>
      </c>
      <c r="B12" s="3" t="n"/>
      <c r="C12" s="3" t="n"/>
      <c r="D12" s="3" t="n"/>
      <c r="E12" s="3" t="n"/>
      <c r="F12" s="3" t="n"/>
    </row>
    <row r="13">
      <c r="A13" s="3" t="inlineStr">
        <is>
          <t xml:space="preserve">  Labor (Operators)</t>
        </is>
      </c>
      <c r="B13" s="3" t="n"/>
      <c r="C13" s="3" t="n"/>
      <c r="D13" s="3" t="n"/>
      <c r="E13" s="3" t="n"/>
      <c r="F13" s="3" t="n"/>
    </row>
    <row r="14">
      <c r="A14" s="3" t="inlineStr">
        <is>
          <t xml:space="preserve">  Fuel</t>
        </is>
      </c>
      <c r="B14" s="3" t="n"/>
      <c r="C14" s="3" t="n"/>
      <c r="D14" s="3" t="n"/>
      <c r="E14" s="3" t="n"/>
      <c r="F14" s="3" t="n"/>
    </row>
    <row r="15">
      <c r="A15" s="3" t="inlineStr">
        <is>
          <t xml:space="preserve">  Utilities (Electricity, Water)</t>
        </is>
      </c>
      <c r="B15" s="3" t="n"/>
      <c r="C15" s="3" t="n"/>
      <c r="D15" s="3" t="n"/>
      <c r="E15" s="3" t="n"/>
      <c r="F15" s="3" t="n"/>
    </row>
    <row r="16">
      <c r="A16" s="3" t="inlineStr">
        <is>
          <t xml:space="preserve">  Lab Analysis &amp; Packaging</t>
        </is>
      </c>
      <c r="B16" s="3" t="n"/>
      <c r="C16" s="3" t="n"/>
      <c r="D16" s="3" t="n"/>
      <c r="E16" s="3" t="n"/>
      <c r="F16" s="3" t="n"/>
    </row>
    <row r="17">
      <c r="A17" s="3" t="inlineStr"/>
      <c r="B17" s="3" t="n"/>
      <c r="C17" s="3" t="n"/>
      <c r="D17" s="3" t="n"/>
      <c r="E17" s="3" t="n"/>
      <c r="F17" s="3" t="n"/>
    </row>
    <row r="18">
      <c r="A18" s="8" t="inlineStr">
        <is>
          <t>SUBTOTAL OPEX</t>
        </is>
      </c>
      <c r="B18" s="3" t="n"/>
      <c r="C18" s="3" t="n"/>
      <c r="D18" s="3" t="n"/>
      <c r="E18" s="3" t="n"/>
      <c r="F18" s="3" t="n"/>
    </row>
    <row r="19">
      <c r="A19" s="3" t="inlineStr"/>
      <c r="B19" s="3" t="n"/>
      <c r="C19" s="3" t="n"/>
      <c r="D19" s="3" t="n"/>
      <c r="E19" s="3" t="n"/>
      <c r="F19" s="3" t="n"/>
    </row>
    <row r="20">
      <c r="A20" s="8" t="inlineStr">
        <is>
          <t>TOTAL COST PER TON</t>
        </is>
      </c>
      <c r="B20" s="3" t="n"/>
      <c r="C20" s="3" t="n"/>
      <c r="D20" s="3" t="n"/>
      <c r="E20" s="3" t="n"/>
      <c r="F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2026-02-22T05:52:25Z</dcterms:created>
  <dcterms:modified xsi:type="dcterms:W3CDTF">2026-02-22T06:35:40Z</dcterms:modified>
</cp:coreProperties>
</file>