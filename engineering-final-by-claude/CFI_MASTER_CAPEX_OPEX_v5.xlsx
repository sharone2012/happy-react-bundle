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_SUMMARY" sheetId="1" state="visible" r:id="rId1"/>
    <sheet name="OPEX_SUMMARY" sheetId="2" state="visible" r:id="rId2"/>
    <sheet name="5_ORG_ONE_SHOT_MIX" sheetId="3" state="visible" r:id="rId3"/>
    <sheet name="LABOUR_ALL_STAGES" sheetId="4" state="visible" r:id="rId4"/>
    <sheet name="0_CONTENTS" sheetId="5" state="visible" r:id="rId5"/>
    <sheet name="0A_PROGRAM_OVERVIEW" sheetId="6" state="visible" r:id="rId6"/>
    <sheet name="0B_STAGE_SUMMARY" sheetId="7" state="visible" r:id="rId7"/>
    <sheet name="0C_QUICK_START" sheetId="8" state="visible" r:id="rId8"/>
    <sheet name="0D_ECONOMICS_SUMMARY" sheetId="9" state="visible" r:id="rId9"/>
    <sheet name="1_INPUT_CONTROL" sheetId="10" state="visible" r:id="rId10"/>
    <sheet name="1A_OPEX_REFERENCE" sheetId="11" state="visible" r:id="rId11"/>
    <sheet name="2_STAGE0_MECHANICAL" sheetId="12" state="visible" r:id="rId12"/>
    <sheet name="3_STAGE1_CHEMICAL" sheetId="13" state="visible" r:id="rId13"/>
    <sheet name="3B_GREENHOUSE_SPEC" sheetId="14" state="visible" r:id="rId14"/>
    <sheet name="4_STAGE2_BIOLOGICAL" sheetId="15" state="visible" r:id="rId15"/>
    <sheet name="4G_GREENHOUSE_SPEC" sheetId="16" state="visible" r:id="rId16"/>
    <sheet name="4H_STAGE2_RESULTS" sheetId="17" state="visible" r:id="rId17"/>
    <sheet name="5_STAGE3_COMPOST" sheetId="18" state="visible" r:id="rId18"/>
    <sheet name="5A_PRODUCT_SPECS" sheetId="19" state="visible" r:id="rId19"/>
    <sheet name="6_STAGE4_BSF" sheetId="20" state="visible" r:id="rId20"/>
    <sheet name="7_STAGE5_DRYPACK" sheetId="21" state="visible" r:id="rId21"/>
    <sheet name="8_STAGE6_ENHANCE" sheetId="22" state="visible" r:id="rId22"/>
    <sheet name="9_PATHWAY_SCENARIOS" sheetId="23" state="visible" r:id="rId23"/>
    <sheet name="9A_PLANTATION_COMBINATIONS" sheetId="24" state="visible" r:id="rId24"/>
    <sheet name="10_COST_TRACKING_MASTER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70C0"/>
      <sz val="10"/>
    </font>
    <font>
      <name val="Calibri"/>
      <b val="1"/>
      <color rgb="001F4E78"/>
      <sz val="16"/>
    </font>
    <font>
      <name val="Calibri"/>
      <i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sz val="10"/>
    </font>
    <font>
      <name val="Calibri"/>
      <b val="1"/>
      <color rgb="00C00000"/>
      <sz val="11"/>
    </font>
    <font>
      <b val="1"/>
    </font>
    <font>
      <name val="Calibri"/>
      <sz val="10"/>
    </font>
    <font>
      <name val="DM Sans"/>
      <b val="1"/>
      <color rgb="0040D7C5"/>
      <sz val="14"/>
    </font>
    <font>
      <name val="DM Sans"/>
      <b val="1"/>
      <color rgb="0040D7C5"/>
      <sz val="10"/>
    </font>
    <font>
      <name val="DM Sans"/>
      <color rgb="00333333"/>
      <sz val="10"/>
    </font>
    <font>
      <name val="DM Sans"/>
      <b val="1"/>
      <color rgb="00F5A623"/>
      <sz val="10"/>
    </font>
    <font>
      <name val="DM Sans"/>
      <b val="1"/>
      <color rgb="0000A249"/>
      <sz val="10"/>
    </font>
    <font>
      <name val="DM Sans"/>
      <b val="1"/>
      <color rgb="00E84040"/>
      <sz val="10"/>
    </font>
    <font>
      <name val="DM Sans"/>
      <b val="1"/>
      <color rgb="0000A249"/>
      <sz val="12"/>
    </font>
    <font>
      <name val="DM Sans"/>
      <b val="1"/>
      <color rgb="00111111"/>
      <sz val="10"/>
    </font>
    <font>
      <name val="DM Sans"/>
      <b val="1"/>
      <color rgb="00F5A623"/>
      <sz val="11"/>
    </font>
    <font>
      <name val="DM Sans"/>
      <b val="1"/>
      <color rgb="0040D7C5"/>
      <sz val="11"/>
    </font>
    <font>
      <name val="DM Sans"/>
      <b val="1"/>
      <color rgb="0000A249"/>
      <sz val="11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060C14"/>
        <bgColor rgb="00060C14"/>
      </patternFill>
    </fill>
    <fill>
      <patternFill patternType="solid">
        <fgColor rgb="00FFF3E0"/>
        <bgColor rgb="00FFF3E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bottom style="thin">
        <color rgb="0040D7C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4" borderId="1" pivotButton="0" quotePrefix="0" xfId="0"/>
    <xf numFmtId="4" fontId="0" fillId="4" borderId="1" pivotButton="0" quotePrefix="0" xfId="0"/>
    <xf numFmtId="164" fontId="0" fillId="0" borderId="1" pivotButton="0" quotePrefix="0" xfId="0"/>
    <xf numFmtId="0" fontId="2" fillId="5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0" borderId="1" pivotButton="0" quotePrefix="0" xfId="0"/>
    <xf numFmtId="0" fontId="7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1" pivotButton="0" quotePrefix="0" xfId="0"/>
    <xf numFmtId="0" fontId="4" fillId="7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8" fillId="0" borderId="0" pivotButton="0" quotePrefix="0" xfId="0"/>
    <xf numFmtId="0" fontId="0" fillId="7" borderId="0" pivotButton="0" quotePrefix="0" xfId="0"/>
    <xf numFmtId="0" fontId="9" fillId="0" borderId="0" pivotButton="0" quotePrefix="0" xfId="0"/>
    <xf numFmtId="0" fontId="7" fillId="6" borderId="0" pivotButton="0" quotePrefix="0" xfId="0"/>
    <xf numFmtId="0" fontId="8" fillId="8" borderId="0" pivotButton="0" quotePrefix="0" xfId="0"/>
    <xf numFmtId="0" fontId="0" fillId="8" borderId="1" pivotButton="0" quotePrefix="0" xfId="0"/>
    <xf numFmtId="0" fontId="11" fillId="5" borderId="0" applyAlignment="1" pivotButton="0" quotePrefix="0" xfId="0">
      <alignment horizontal="center"/>
    </xf>
    <xf numFmtId="0" fontId="8" fillId="9" borderId="0" pivotButton="0" quotePrefix="0" xfId="0"/>
    <xf numFmtId="0" fontId="11" fillId="10" borderId="0" applyAlignment="1" pivotButton="0" quotePrefix="0" xfId="0">
      <alignment horizontal="center"/>
    </xf>
    <xf numFmtId="0" fontId="12" fillId="0" borderId="0" pivotButton="0" quotePrefix="0" xfId="0"/>
    <xf numFmtId="0" fontId="13" fillId="11" borderId="0" applyAlignment="1" pivotButton="0" quotePrefix="0" xfId="0">
      <alignment horizontal="left"/>
    </xf>
    <xf numFmtId="0" fontId="14" fillId="11" borderId="0" applyAlignment="1" pivotButton="0" quotePrefix="0" xfId="0">
      <alignment horizontal="center" wrapText="1"/>
    </xf>
    <xf numFmtId="0" fontId="15" fillId="0" borderId="0" pivotButton="0" quotePrefix="0" xfId="0"/>
    <xf numFmtId="3" fontId="16" fillId="0" borderId="0" pivotButton="0" quotePrefix="0" xfId="0"/>
    <xf numFmtId="0" fontId="16" fillId="12" borderId="0" pivotButton="0" quotePrefix="0" xfId="0"/>
    <xf numFmtId="0" fontId="17" fillId="0" borderId="0" pivotButton="0" quotePrefix="0" xfId="0"/>
    <xf numFmtId="3" fontId="17" fillId="0" borderId="0" pivotButton="0" quotePrefix="0" xfId="0"/>
    <xf numFmtId="0" fontId="18" fillId="12" borderId="0" pivotButton="0" quotePrefix="0" xfId="0"/>
    <xf numFmtId="0" fontId="19" fillId="0" borderId="0" pivotButton="0" quotePrefix="0" xfId="0"/>
    <xf numFmtId="3" fontId="19" fillId="0" borderId="0" pivotButton="0" quotePrefix="0" xfId="0"/>
    <xf numFmtId="0" fontId="20" fillId="0" borderId="0" pivotButton="0" quotePrefix="0" xfId="0"/>
    <xf numFmtId="3" fontId="21" fillId="0" borderId="0" pivotButton="0" quotePrefix="0" xfId="0"/>
    <xf numFmtId="0" fontId="17" fillId="0" borderId="6" pivotButton="0" quotePrefix="0" xfId="0"/>
    <xf numFmtId="3" fontId="17" fillId="0" borderId="6" pivotButton="0" quotePrefix="0" xfId="0"/>
    <xf numFmtId="0" fontId="21" fillId="0" borderId="0" pivotButton="0" quotePrefix="0" xfId="0"/>
    <xf numFmtId="0" fontId="22" fillId="0" borderId="0" pivotButton="0" quotePrefix="0" xfId="0"/>
    <xf numFmtId="4" fontId="22" fillId="0" borderId="0" pivotButton="0" quotePrefix="0" xfId="0"/>
    <xf numFmtId="4" fontId="15" fillId="0" borderId="0" pivotButton="0" quotePrefix="0" xfId="0"/>
    <xf numFmtId="10" fontId="15" fillId="0" borderId="0" pivotButton="0" quotePrefix="0" xfId="0"/>
    <xf numFmtId="4" fontId="16" fillId="0" borderId="0" pivotButton="0" quotePrefix="0" xfId="0"/>
    <xf numFmtId="4" fontId="19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27" customWidth="1" min="4" max="4"/>
  </cols>
  <sheetData>
    <row r="1">
      <c r="A1" s="29" t="inlineStr">
        <is>
          <t>CFI COMPLETE CAPEX SUMMARY — All Stages</t>
        </is>
      </c>
    </row>
    <row r="2"/>
    <row r="3">
      <c r="A3" s="30" t="inlineStr">
        <is>
          <t>Component</t>
        </is>
      </c>
      <c r="B3" s="30" t="inlineStr">
        <is>
          <t>Amount (USD)</t>
        </is>
      </c>
      <c r="C3" s="30" t="inlineStr">
        <is>
          <t>Status</t>
        </is>
      </c>
      <c r="D3" s="30" t="inlineStr">
        <is>
          <t>Source</t>
        </is>
      </c>
    </row>
    <row r="4">
      <c r="A4" s="31" t="inlineStr">
        <is>
          <t>S1 Building CAPEX (Indo rates, A1-A8 + markups)</t>
        </is>
      </c>
      <c r="B4" s="32" t="n">
        <v>1374610</v>
      </c>
      <c r="C4" s="31" t="inlineStr">
        <is>
          <t>CONFIRMED</t>
        </is>
      </c>
      <c r="D4" s="31" t="inlineStr">
        <is>
          <t>cfi_building_capex</t>
        </is>
      </c>
    </row>
    <row r="5">
      <c r="A5" s="31" t="inlineStr">
        <is>
          <t>S1 Equipment — EFB Line (10 items)</t>
        </is>
      </c>
      <c r="B5" s="32" t="n">
        <v>184000</v>
      </c>
      <c r="C5" s="31" t="inlineStr">
        <is>
          <t>CONFIRMED</t>
        </is>
      </c>
      <c r="D5" s="31" t="inlineStr">
        <is>
          <t>cfi_equipment_capex_epc</t>
        </is>
      </c>
    </row>
    <row r="6">
      <c r="A6" s="31" t="inlineStr">
        <is>
          <t>S1 Equipment — OPDC Line (4 items)</t>
        </is>
      </c>
      <c r="B6" s="32" t="n">
        <v>38000</v>
      </c>
      <c r="C6" s="31" t="inlineStr">
        <is>
          <t>CONFIRMED</t>
        </is>
      </c>
      <c r="D6" s="31" t="inlineStr">
        <is>
          <t>cfi_equipment_capex_epc</t>
        </is>
      </c>
    </row>
    <row r="7">
      <c r="A7" s="31" t="inlineStr">
        <is>
          <t>S1 Equipment — POS Decanter (RFQ)</t>
        </is>
      </c>
      <c r="B7" s="31" t="n"/>
      <c r="C7" s="33" t="inlineStr">
        <is>
          <t>RFQ $80K-$150K</t>
        </is>
      </c>
      <c r="D7" s="31" t="inlineStr">
        <is>
          <t>cfi_equipment_capex_epc</t>
        </is>
      </c>
    </row>
    <row r="8">
      <c r="A8" s="31" t="inlineStr">
        <is>
          <t>Shared — Limestone Station</t>
        </is>
      </c>
      <c r="B8" s="32" t="n">
        <v>6000</v>
      </c>
      <c r="C8" s="31" t="inlineStr">
        <is>
          <t>CONFIRMED</t>
        </is>
      </c>
      <c r="D8" s="31" t="inlineStr">
        <is>
          <t>cfi_equipment_capex_epc</t>
        </is>
      </c>
    </row>
    <row r="9">
      <c r="A9" s="31" t="inlineStr">
        <is>
          <t>Shared — Wheel Loader DUTY</t>
        </is>
      </c>
      <c r="B9" s="32" t="n">
        <v>85000</v>
      </c>
      <c r="C9" s="31" t="inlineStr">
        <is>
          <t>CONFIRMED</t>
        </is>
      </c>
      <c r="D9" s="31" t="inlineStr">
        <is>
          <t>cfi_equipment_capex_epc</t>
        </is>
      </c>
    </row>
    <row r="10">
      <c r="A10" s="31" t="inlineStr">
        <is>
          <t>Shared — Wheel Loader STANDBY</t>
        </is>
      </c>
      <c r="B10" s="32" t="n">
        <v>85000</v>
      </c>
      <c r="C10" s="31" t="inlineStr">
        <is>
          <t>CONFIRMED</t>
        </is>
      </c>
      <c r="D10" s="31" t="inlineStr">
        <is>
          <t>cfi_equipment_capex_epc</t>
        </is>
      </c>
    </row>
    <row r="11">
      <c r="A11" s="31" t="inlineStr">
        <is>
          <t>S3 Biological Equipment (9 items)</t>
        </is>
      </c>
      <c r="B11" s="32" t="n">
        <v>82970</v>
      </c>
      <c r="C11" s="31" t="inlineStr">
        <is>
          <t>CONFIRMED</t>
        </is>
      </c>
      <c r="D11" s="31" t="inlineStr">
        <is>
          <t>s3_capex</t>
        </is>
      </c>
    </row>
    <row r="12">
      <c r="A12" s="34" t="inlineStr"/>
      <c r="B12" s="34" t="n"/>
      <c r="C12" s="34" t="inlineStr"/>
      <c r="D12" s="34" t="inlineStr"/>
    </row>
    <row r="13">
      <c r="A13" s="31" t="inlineStr">
        <is>
          <t>GREENHOUSE 20,000 m² (scaled from Sharon XLS)</t>
        </is>
      </c>
      <c r="B13" s="31" t="n"/>
      <c r="C13" s="31" t="inlineStr"/>
      <c r="D13" s="31" t="inlineStr"/>
    </row>
    <row r="14">
      <c r="A14" s="31" t="inlineStr">
        <is>
          <t xml:space="preserve">  1. Greenhouse Manufacturing (60 GH)</t>
        </is>
      </c>
      <c r="B14" s="32" t="n">
        <v>1550000</v>
      </c>
      <c r="C14" s="31" t="inlineStr">
        <is>
          <t>CONFIRMED</t>
        </is>
      </c>
      <c r="D14" s="31" t="inlineStr">
        <is>
          <t>Sharon GH Excel</t>
        </is>
      </c>
    </row>
    <row r="15">
      <c r="A15" s="31" t="inlineStr">
        <is>
          <t xml:space="preserve">  2. Site Prep &amp; Concrete</t>
        </is>
      </c>
      <c r="B15" s="32" t="n">
        <v>712000</v>
      </c>
      <c r="C15" s="31" t="inlineStr">
        <is>
          <t>CONFIRMED</t>
        </is>
      </c>
      <c r="D15" s="31" t="inlineStr">
        <is>
          <t>Sharon GH Excel</t>
        </is>
      </c>
    </row>
    <row r="16">
      <c r="A16" s="31" t="inlineStr">
        <is>
          <t xml:space="preserve">  3. Equipment/Machinery</t>
        </is>
      </c>
      <c r="B16" s="32" t="n">
        <v>210500</v>
      </c>
      <c r="C16" s="31" t="inlineStr">
        <is>
          <t>CONFIRMED</t>
        </is>
      </c>
      <c r="D16" s="31" t="inlineStr">
        <is>
          <t>Sharon GH Excel</t>
        </is>
      </c>
    </row>
    <row r="17">
      <c r="A17" s="31" t="inlineStr">
        <is>
          <t xml:space="preserve">  4. Smart Sensors + Rotterdam shipping</t>
        </is>
      </c>
      <c r="B17" s="32" t="n">
        <v>198450</v>
      </c>
      <c r="C17" s="31" t="inlineStr">
        <is>
          <t>CONFIRMED</t>
        </is>
      </c>
      <c r="D17" s="31" t="inlineStr">
        <is>
          <t>Sharon GH Excel</t>
        </is>
      </c>
    </row>
    <row r="18">
      <c r="A18" s="31" t="inlineStr">
        <is>
          <t xml:space="preserve">  5. Electrical Automation</t>
        </is>
      </c>
      <c r="B18" s="32" t="n">
        <v>149160</v>
      </c>
      <c r="C18" s="31" t="inlineStr">
        <is>
          <t>CONFIRMED</t>
        </is>
      </c>
      <c r="D18" s="31" t="inlineStr">
        <is>
          <t>Sharon GH Excel</t>
        </is>
      </c>
    </row>
    <row r="19">
      <c r="A19" s="31" t="inlineStr">
        <is>
          <t xml:space="preserve">  6. Cloud Storage</t>
        </is>
      </c>
      <c r="B19" s="32" t="n">
        <v>1500</v>
      </c>
      <c r="C19" s="31" t="inlineStr">
        <is>
          <t>CONFIRMED</t>
        </is>
      </c>
      <c r="D19" s="31" t="inlineStr">
        <is>
          <t>Sharon GH Excel</t>
        </is>
      </c>
    </row>
    <row r="20">
      <c r="A20" s="31" t="inlineStr">
        <is>
          <t xml:space="preserve">  7. IoT Connectivity (Advantech)</t>
        </is>
      </c>
      <c r="B20" s="32" t="n">
        <v>149260</v>
      </c>
      <c r="C20" s="31" t="inlineStr">
        <is>
          <t>CONFIRMED</t>
        </is>
      </c>
      <c r="D20" s="31" t="inlineStr">
        <is>
          <t>Sharon GH Excel</t>
        </is>
      </c>
    </row>
    <row r="21">
      <c r="A21" s="31" t="inlineStr">
        <is>
          <t xml:space="preserve">  8. Management Software</t>
        </is>
      </c>
      <c r="B21" s="32" t="n">
        <v>30000</v>
      </c>
      <c r="C21" s="31" t="inlineStr">
        <is>
          <t>CONFIRMED</t>
        </is>
      </c>
      <c r="D21" s="31" t="inlineStr">
        <is>
          <t>Sharon GH Excel</t>
        </is>
      </c>
    </row>
    <row r="22">
      <c r="A22" s="31" t="inlineStr">
        <is>
          <t xml:space="preserve">  9. Reporting Software (EU CSRD)</t>
        </is>
      </c>
      <c r="B22" s="32" t="n">
        <v>10000</v>
      </c>
      <c r="C22" s="31" t="inlineStr">
        <is>
          <t>CONFIRMED</t>
        </is>
      </c>
      <c r="D22" s="31" t="inlineStr">
        <is>
          <t>Sharon GH Excel</t>
        </is>
      </c>
    </row>
    <row r="23">
      <c r="A23" s="31" t="inlineStr">
        <is>
          <t xml:space="preserve">  + 10% Local EPC</t>
        </is>
      </c>
      <c r="B23" s="32" t="n">
        <v>301087</v>
      </c>
      <c r="C23" s="31" t="inlineStr">
        <is>
          <t>CONFIRMED</t>
        </is>
      </c>
      <c r="D23" s="31" t="inlineStr">
        <is>
          <t>Sharon GH Excel</t>
        </is>
      </c>
    </row>
    <row r="24">
      <c r="A24" s="31" t="inlineStr">
        <is>
          <t xml:space="preserve">  + 5% PM Travel</t>
        </is>
      </c>
      <c r="B24" s="32" t="n">
        <v>150544</v>
      </c>
      <c r="C24" s="31" t="inlineStr">
        <is>
          <t>CONFIRMED</t>
        </is>
      </c>
      <c r="D24" s="31" t="inlineStr">
        <is>
          <t>Sharon GH Excel</t>
        </is>
      </c>
    </row>
    <row r="25">
      <c r="A25" s="34" t="inlineStr">
        <is>
          <t>GREENHOUSE SUBTOTAL</t>
        </is>
      </c>
      <c r="B25" s="35" t="n">
        <v>3462501</v>
      </c>
      <c r="C25" s="34" t="inlineStr">
        <is>
          <t>CONFIRMED</t>
        </is>
      </c>
      <c r="D25" s="34" t="inlineStr">
        <is>
          <t>Sharon GH Excel</t>
        </is>
      </c>
    </row>
    <row r="26">
      <c r="A26" s="34" t="inlineStr"/>
      <c r="B26" s="34" t="n"/>
      <c r="C26" s="34" t="inlineStr"/>
      <c r="D26" s="34" t="inlineStr"/>
    </row>
    <row r="27">
      <c r="A27" s="31" t="inlineStr">
        <is>
          <t>S2 Mixer/Press Equipment</t>
        </is>
      </c>
      <c r="B27" s="31" t="n"/>
      <c r="C27" s="36" t="inlineStr">
        <is>
          <t>DATA GAP</t>
        </is>
      </c>
      <c r="D27" s="31" t="inlineStr"/>
    </row>
    <row r="28">
      <c r="A28" s="31" t="inlineStr">
        <is>
          <t>S4 BSF Rearing Equipment</t>
        </is>
      </c>
      <c r="B28" s="31" t="n"/>
      <c r="C28" s="36" t="inlineStr">
        <is>
          <t>DATA GAP</t>
        </is>
      </c>
      <c r="D28" s="31" t="inlineStr"/>
    </row>
    <row r="29">
      <c r="A29" s="31" t="inlineStr">
        <is>
          <t>S5 Drying/Granulation Equipment</t>
        </is>
      </c>
      <c r="B29" s="31" t="n"/>
      <c r="C29" s="36" t="inlineStr">
        <is>
          <t>DATA GAP</t>
        </is>
      </c>
      <c r="D29" s="31" t="inlineStr"/>
    </row>
    <row r="30">
      <c r="A30" s="31" t="inlineStr">
        <is>
          <t>S6 BSF Meal Processing Equipment</t>
        </is>
      </c>
      <c r="B30" s="31" t="n"/>
      <c r="C30" s="36" t="inlineStr">
        <is>
          <t>DATA GAP</t>
        </is>
      </c>
      <c r="D30" s="31" t="inlineStr"/>
    </row>
    <row r="31">
      <c r="A31" s="34" t="inlineStr"/>
      <c r="B31" s="34" t="n"/>
      <c r="C31" s="34" t="inlineStr"/>
      <c r="D31" s="34" t="inlineStr"/>
    </row>
    <row r="32">
      <c r="A32" s="37" t="inlineStr">
        <is>
          <t>CONFIRMED CAPEX TOTAL</t>
        </is>
      </c>
      <c r="B32" s="38" t="n">
        <v>5398081</v>
      </c>
    </row>
    <row r="33">
      <c r="A33" s="39" t="inlineStr">
        <is>
          <t>WITH POS RFQ (low)</t>
        </is>
      </c>
      <c r="B33" s="40" t="n">
        <v>5478081</v>
      </c>
    </row>
    <row r="34">
      <c r="A34" s="39" t="inlineStr">
        <is>
          <t>WITH POS RFQ (high)</t>
        </is>
      </c>
      <c r="B34" s="40" t="n">
        <v>5548081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  <col width="36" customWidth="1" min="4" max="4"/>
  </cols>
  <sheetData>
    <row r="1">
      <c r="A1" s="29" t="inlineStr">
        <is>
          <t>CFI MONTHLY OPEX — All Stages (Corrected 5-Org Mix)</t>
        </is>
      </c>
    </row>
    <row r="2"/>
    <row r="3">
      <c r="A3" s="30" t="inlineStr">
        <is>
          <t>Category</t>
        </is>
      </c>
      <c r="B3" s="30" t="inlineStr">
        <is>
          <t>Monthly (USD)</t>
        </is>
      </c>
      <c r="C3" s="30" t="inlineStr">
        <is>
          <t>Annual (USD)</t>
        </is>
      </c>
      <c r="D3" s="30" t="inlineStr">
        <is>
          <t>Source/Notes</t>
        </is>
      </c>
    </row>
    <row r="4">
      <c r="A4" s="31" t="inlineStr">
        <is>
          <t>LABOUR</t>
        </is>
      </c>
      <c r="B4" s="31" t="n"/>
      <c r="C4" s="31" t="n"/>
      <c r="D4" s="31" t="inlineStr"/>
    </row>
    <row r="5">
      <c r="A5" s="31" t="inlineStr">
        <is>
          <t xml:space="preserve">  S1 — 7 FTE (2 EFB ops, 2 OPDC ops, maint, QC, supervisor)</t>
        </is>
      </c>
      <c r="B5" s="32" t="n">
        <v>3576</v>
      </c>
      <c r="C5" s="32" t="n">
        <v>42912</v>
      </c>
      <c r="D5" s="31" t="inlineStr">
        <is>
          <t>cfi_s1_opex_labour</t>
        </is>
      </c>
    </row>
    <row r="6">
      <c r="A6" s="31" t="inlineStr">
        <is>
          <t xml:space="preserve">  S3 — 2.5 FTE (2 inoculation ops + 0.5 QC)</t>
        </is>
      </c>
      <c r="B6" s="32" t="n">
        <v>1050</v>
      </c>
      <c r="C6" s="32" t="n">
        <v>12600</v>
      </c>
      <c r="D6" s="31" t="inlineStr">
        <is>
          <t>s3_opex_monthly</t>
        </is>
      </c>
    </row>
    <row r="7">
      <c r="A7" s="31" t="inlineStr">
        <is>
          <t xml:space="preserve">  S4 — 4 FTE (3 rearing ops + 1 colony tech)</t>
        </is>
      </c>
      <c r="B7" s="32" t="n">
        <v>1550</v>
      </c>
      <c r="C7" s="32" t="n">
        <v>18600</v>
      </c>
      <c r="D7" s="31" t="inlineStr">
        <is>
          <t>s3_opex_monthly</t>
        </is>
      </c>
    </row>
    <row r="8">
      <c r="A8" s="31" t="inlineStr">
        <is>
          <t xml:space="preserve">  S5 — 2.5 FTE (2 dryer ops + 0.5 QC)</t>
        </is>
      </c>
      <c r="B8" s="32" t="n">
        <v>875</v>
      </c>
      <c r="C8" s="32" t="n">
        <v>10500</v>
      </c>
      <c r="D8" s="31" t="inlineStr">
        <is>
          <t>s3_opex_monthly</t>
        </is>
      </c>
    </row>
    <row r="9">
      <c r="A9" s="31" t="inlineStr">
        <is>
          <t xml:space="preserve">  S6 — 2.5 FTE (2 processing ops + 0.5 QC)</t>
        </is>
      </c>
      <c r="B9" s="32" t="n">
        <v>1000</v>
      </c>
      <c r="C9" s="32" t="n">
        <v>12000</v>
      </c>
      <c r="D9" s="31" t="inlineStr">
        <is>
          <t>s3_opex_monthly</t>
        </is>
      </c>
    </row>
    <row r="10">
      <c r="A10" s="41" t="inlineStr">
        <is>
          <t>Labour Subtotal (18.5 FTE)</t>
        </is>
      </c>
      <c r="B10" s="42" t="n">
        <v>8051</v>
      </c>
      <c r="C10" s="42" t="n">
        <v>96612</v>
      </c>
      <c r="D10" s="41" t="inlineStr"/>
    </row>
    <row r="11">
      <c r="A11" s="31" t="inlineStr"/>
      <c r="B11" s="31" t="n"/>
      <c r="C11" s="31" t="n"/>
      <c r="D11" s="31" t="inlineStr"/>
    </row>
    <row r="12">
      <c r="A12" s="31" t="inlineStr">
        <is>
          <t>ELECTRICITY</t>
        </is>
      </c>
      <c r="B12" s="31" t="n"/>
      <c r="C12" s="31" t="n"/>
      <c r="D12" s="31" t="inlineStr"/>
    </row>
    <row r="13">
      <c r="A13" s="31" t="inlineStr">
        <is>
          <t xml:space="preserve">  S1C EFB Pre-Processing</t>
        </is>
      </c>
      <c r="B13" s="32" t="n">
        <v>14191</v>
      </c>
      <c r="C13" s="32" t="n">
        <v>170291</v>
      </c>
      <c r="D13" s="31" t="inlineStr">
        <is>
          <t>cfi_electricity_opex</t>
        </is>
      </c>
    </row>
    <row r="14">
      <c r="A14" s="31" t="inlineStr">
        <is>
          <t xml:space="preserve">  S1B OPDC Pre-Processing</t>
        </is>
      </c>
      <c r="B14" s="32" t="n">
        <v>6651</v>
      </c>
      <c r="C14" s="32" t="n">
        <v>79815</v>
      </c>
      <c r="D14" s="31" t="inlineStr">
        <is>
          <t>cfi_electricity_opex</t>
        </is>
      </c>
    </row>
    <row r="15">
      <c r="A15" s="31" t="inlineStr">
        <is>
          <t xml:space="preserve">  S1A POS Pre-Skimming</t>
        </is>
      </c>
      <c r="B15" s="32" t="n">
        <v>1806</v>
      </c>
      <c r="C15" s="32" t="n">
        <v>21667</v>
      </c>
      <c r="D15" s="31" t="inlineStr">
        <is>
          <t>cfi_electricity_opex</t>
        </is>
      </c>
    </row>
    <row r="16">
      <c r="A16" s="31" t="inlineStr">
        <is>
          <t xml:space="preserve">  S2A EFB Chemical Treatment</t>
        </is>
      </c>
      <c r="B16" s="32" t="n">
        <v>9069</v>
      </c>
      <c r="C16" s="32" t="n">
        <v>108822</v>
      </c>
      <c r="D16" s="31" t="inlineStr">
        <is>
          <t>cfi_electricity_opex</t>
        </is>
      </c>
    </row>
    <row r="17">
      <c r="A17" s="31" t="inlineStr">
        <is>
          <t xml:space="preserve">  S2B OPDC Chemical Treatment</t>
        </is>
      </c>
      <c r="B17" s="32" t="n">
        <v>3126</v>
      </c>
      <c r="C17" s="32" t="n">
        <v>37512</v>
      </c>
      <c r="D17" s="31" t="inlineStr">
        <is>
          <t>cfi_electricity_opex</t>
        </is>
      </c>
    </row>
    <row r="18">
      <c r="A18" s="31" t="inlineStr">
        <is>
          <t xml:space="preserve">  S3 Final Blending</t>
        </is>
      </c>
      <c r="B18" s="32" t="n">
        <v>634</v>
      </c>
      <c r="C18" s="32" t="n">
        <v>7604</v>
      </c>
      <c r="D18" s="31" t="inlineStr">
        <is>
          <t>cfi_electricity_opex</t>
        </is>
      </c>
    </row>
    <row r="19">
      <c r="A19" s="31" t="inlineStr">
        <is>
          <t xml:space="preserve">  Shared Utilities (limestone)</t>
        </is>
      </c>
      <c r="B19" s="32" t="n">
        <v>40</v>
      </c>
      <c r="C19" s="32" t="n">
        <v>478</v>
      </c>
      <c r="D19" s="31" t="inlineStr">
        <is>
          <t>cfi_electricity_opex</t>
        </is>
      </c>
    </row>
    <row r="20">
      <c r="A20" s="31" t="inlineStr">
        <is>
          <t xml:space="preserve">  MEP Building Services</t>
        </is>
      </c>
      <c r="B20" s="32" t="n">
        <v>2177</v>
      </c>
      <c r="C20" s="32" t="n">
        <v>26128</v>
      </c>
      <c r="D20" s="31" t="inlineStr">
        <is>
          <t>cfi_electricity_opex</t>
        </is>
      </c>
    </row>
    <row r="21">
      <c r="A21" s="31" t="inlineStr">
        <is>
          <t xml:space="preserve">  S4 BSF Greenhouses</t>
        </is>
      </c>
      <c r="B21" s="32" t="n">
        <v>1099</v>
      </c>
      <c r="C21" s="32" t="n">
        <v>13188</v>
      </c>
      <c r="D21" s="31" t="inlineStr">
        <is>
          <t>s3_opex_monthly</t>
        </is>
      </c>
    </row>
    <row r="22">
      <c r="A22" s="31" t="inlineStr">
        <is>
          <t xml:space="preserve">  S5 Frass Drying</t>
        </is>
      </c>
      <c r="B22" s="32" t="n">
        <v>4702</v>
      </c>
      <c r="C22" s="32" t="n">
        <v>56424</v>
      </c>
      <c r="D22" s="31" t="inlineStr">
        <is>
          <t>s3_opex_monthly</t>
        </is>
      </c>
    </row>
    <row r="23">
      <c r="A23" s="31" t="inlineStr">
        <is>
          <t xml:space="preserve">  S6 BSF Processing</t>
        </is>
      </c>
      <c r="B23" s="32" t="n">
        <v>3089</v>
      </c>
      <c r="C23" s="32" t="n">
        <v>37068</v>
      </c>
      <c r="D23" s="31" t="inlineStr">
        <is>
          <t>s3_opex_monthly</t>
        </is>
      </c>
    </row>
    <row r="24">
      <c r="A24" s="41" t="inlineStr">
        <is>
          <t>Electricity Subtotal</t>
        </is>
      </c>
      <c r="B24" s="42" t="n">
        <v>46584</v>
      </c>
      <c r="C24" s="42" t="n">
        <v>558996</v>
      </c>
      <c r="D24" s="41" t="inlineStr">
        <is>
          <t>PLN $0.0914/kWh</t>
        </is>
      </c>
    </row>
    <row r="25">
      <c r="A25" s="31" t="inlineStr"/>
      <c r="B25" s="31" t="n"/>
      <c r="C25" s="31" t="n"/>
      <c r="D25" s="31" t="inlineStr"/>
    </row>
    <row r="26">
      <c r="A26" s="31" t="inlineStr">
        <is>
          <t>INOCULANTS (5-ORG ONE-SHOT MIX @ $0.65/t FW)</t>
        </is>
      </c>
      <c r="B26" s="31" t="n"/>
      <c r="C26" s="31" t="n"/>
      <c r="D26" s="31" t="inlineStr"/>
    </row>
    <row r="27">
      <c r="A27" s="31" t="inlineStr">
        <is>
          <t xml:space="preserve">  Lactobacillus EM-4 (0.08% DM, $0.17/kg)</t>
        </is>
      </c>
      <c r="B27" s="32" t="n">
        <v>408</v>
      </c>
      <c r="C27" s="32" t="n">
        <v>4896</v>
      </c>
      <c r="D27" s="31" t="inlineStr">
        <is>
          <t>$0.05/t FW</t>
        </is>
      </c>
    </row>
    <row r="28">
      <c r="A28" s="31" t="inlineStr">
        <is>
          <t xml:space="preserve">  Saccharomyces cerevisiae (0.10% DM, $0.30/kg)</t>
        </is>
      </c>
      <c r="B28" s="32" t="n">
        <v>897</v>
      </c>
      <c r="C28" s="32" t="n">
        <v>10764</v>
      </c>
      <c r="D28" s="31" t="inlineStr">
        <is>
          <t>$0.11/t FW</t>
        </is>
      </c>
    </row>
    <row r="29">
      <c r="A29" s="31" t="inlineStr">
        <is>
          <t xml:space="preserve">  Bacillus subtilis (0.03% DM, $0.20/kg)</t>
        </is>
      </c>
      <c r="B29" s="32" t="n">
        <v>163</v>
      </c>
      <c r="C29" s="32" t="n">
        <v>1956</v>
      </c>
      <c r="D29" s="31" t="inlineStr">
        <is>
          <t>$0.02/t FW</t>
        </is>
      </c>
    </row>
    <row r="30">
      <c r="A30" s="31" t="inlineStr">
        <is>
          <t xml:space="preserve">  Azotobacter vinelandii (0.10% DM, $0.40/kg)</t>
        </is>
      </c>
      <c r="B30" s="32" t="n">
        <v>408</v>
      </c>
      <c r="C30" s="32" t="n">
        <v>4896</v>
      </c>
      <c r="D30" s="31" t="inlineStr">
        <is>
          <t>$0.05/t FW</t>
        </is>
      </c>
    </row>
    <row r="31">
      <c r="A31" s="31" t="inlineStr">
        <is>
          <t xml:space="preserve">  Trichoderma harzianum (0.08% DM, $1.50/kg)</t>
        </is>
      </c>
      <c r="B31" s="32" t="n">
        <v>3426</v>
      </c>
      <c r="C31" s="32" t="n">
        <v>41112</v>
      </c>
      <c r="D31" s="31" t="inlineStr">
        <is>
          <t>$0.42/t FW</t>
        </is>
      </c>
    </row>
    <row r="32">
      <c r="A32" s="41" t="inlineStr">
        <is>
          <t>Inoculant Subtotal (8,157 t FW/mo)</t>
        </is>
      </c>
      <c r="B32" s="42" t="n">
        <v>5302</v>
      </c>
      <c r="C32" s="42" t="n">
        <v>63624</v>
      </c>
      <c r="D32" s="41" t="inlineStr">
        <is>
          <t>$0.65/t FW</t>
        </is>
      </c>
    </row>
    <row r="33">
      <c r="A33" s="31" t="inlineStr"/>
      <c r="B33" s="31" t="n"/>
      <c r="C33" s="31" t="n"/>
      <c r="D33" s="31" t="inlineStr"/>
    </row>
    <row r="34">
      <c r="A34" s="31" t="inlineStr">
        <is>
          <t>MAINTENANCE &amp; CONSUMABLES</t>
        </is>
      </c>
      <c r="B34" s="31" t="n"/>
      <c r="C34" s="31" t="n"/>
      <c r="D34" s="31" t="inlineStr"/>
    </row>
    <row r="35">
      <c r="A35" s="31" t="inlineStr">
        <is>
          <t xml:space="preserve">  S1 Preventive Maintenance (3% equip/yr)</t>
        </is>
      </c>
      <c r="B35" s="32" t="n">
        <v>639</v>
      </c>
      <c r="C35" s="32" t="n">
        <v>7665</v>
      </c>
      <c r="D35" s="31" t="inlineStr">
        <is>
          <t>cfi_s1_opex_maintenance</t>
        </is>
      </c>
    </row>
    <row r="36">
      <c r="A36" s="31" t="inlineStr">
        <is>
          <t xml:space="preserve">  S1 Wear Parts (EFB + OPDC)</t>
        </is>
      </c>
      <c r="B36" s="32" t="n">
        <v>438</v>
      </c>
      <c r="C36" s="32" t="n">
        <v>5250</v>
      </c>
      <c r="D36" s="31" t="inlineStr">
        <is>
          <t>cfi_s1_opex_maintenance</t>
        </is>
      </c>
    </row>
    <row r="37">
      <c r="A37" s="31" t="inlineStr">
        <is>
          <t xml:space="preserve">  S1 Conveyor Maintenance</t>
        </is>
      </c>
      <c r="B37" s="32" t="n">
        <v>367</v>
      </c>
      <c r="C37" s="32" t="n">
        <v>4400</v>
      </c>
      <c r="D37" s="31" t="inlineStr">
        <is>
          <t>cfi_s1_opex_maintenance</t>
        </is>
      </c>
    </row>
    <row r="38">
      <c r="A38" s="31" t="inlineStr">
        <is>
          <t xml:space="preserve">  S1 Breakdown Repairs</t>
        </is>
      </c>
      <c r="B38" s="32" t="n">
        <v>154</v>
      </c>
      <c r="C38" s="32" t="n">
        <v>1850</v>
      </c>
      <c r="D38" s="31" t="inlineStr">
        <is>
          <t>cfi_s1_opex_maintenance</t>
        </is>
      </c>
    </row>
    <row r="39">
      <c r="A39" s="31" t="inlineStr">
        <is>
          <t xml:space="preserve">  S1 Electrical Repairs</t>
        </is>
      </c>
      <c r="B39" s="32" t="n">
        <v>83</v>
      </c>
      <c r="C39" s="32" t="n">
        <v>1000</v>
      </c>
      <c r="D39" s="31" t="inlineStr">
        <is>
          <t>cfi_s1_opex_maintenance</t>
        </is>
      </c>
    </row>
    <row r="40">
      <c r="A40" s="31" t="inlineStr">
        <is>
          <t xml:space="preserve">  S1 Consumables (filters, oil, grease, water)</t>
        </is>
      </c>
      <c r="B40" s="32" t="n">
        <v>192</v>
      </c>
      <c r="C40" s="32" t="n">
        <v>2600</v>
      </c>
      <c r="D40" s="31" t="inlineStr">
        <is>
          <t>cfi_s1_opex_maintenance</t>
        </is>
      </c>
    </row>
    <row r="41">
      <c r="A41" s="31" t="inlineStr">
        <is>
          <t xml:space="preserve">  S3 Consumables (molasses, pH, PPE)</t>
        </is>
      </c>
      <c r="B41" s="32" t="n">
        <v>321</v>
      </c>
      <c r="C41" s="32" t="n">
        <v>3852</v>
      </c>
      <c r="D41" s="31" t="inlineStr">
        <is>
          <t>s3_opex_monthly</t>
        </is>
      </c>
    </row>
    <row r="42">
      <c r="A42" s="41" t="inlineStr">
        <is>
          <t>Maintenance Subtotal</t>
        </is>
      </c>
      <c r="B42" s="42" t="n">
        <v>2194</v>
      </c>
      <c r="C42" s="42" t="n">
        <v>26617</v>
      </c>
      <c r="D42" s="41" t="inlineStr"/>
    </row>
    <row r="43">
      <c r="A43" s="31" t="inlineStr"/>
      <c r="B43" s="31" t="n"/>
      <c r="C43" s="31" t="n"/>
      <c r="D43" s="31" t="inlineStr"/>
    </row>
    <row r="44">
      <c r="A44" s="31" t="inlineStr">
        <is>
          <t>OTHER</t>
        </is>
      </c>
      <c r="B44" s="31" t="n"/>
      <c r="C44" s="31" t="n"/>
      <c r="D44" s="31" t="inlineStr"/>
    </row>
    <row r="45">
      <c r="A45" s="31" t="inlineStr">
        <is>
          <t xml:space="preserve">  Admin (comms, legal, audit)</t>
        </is>
      </c>
      <c r="B45" s="32" t="n">
        <v>833</v>
      </c>
      <c r="C45" s="32" t="n">
        <v>10000</v>
      </c>
      <c r="D45" s="31" t="inlineStr">
        <is>
          <t>cfi_s1_opex_other</t>
        </is>
      </c>
    </row>
    <row r="46">
      <c r="A46" s="31" t="inlineStr">
        <is>
          <t xml:space="preserve">  Other Utilities (internet, fuel, air)</t>
        </is>
      </c>
      <c r="B46" s="32" t="n">
        <v>200</v>
      </c>
      <c r="C46" s="32" t="n">
        <v>2400</v>
      </c>
      <c r="D46" s="31" t="inlineStr">
        <is>
          <t>cfi_s1_opex_other</t>
        </is>
      </c>
    </row>
    <row r="47">
      <c r="A47" s="31" t="inlineStr">
        <is>
          <t xml:space="preserve">  Transport &amp; Logistics</t>
        </is>
      </c>
      <c r="B47" s="32" t="n">
        <v>300</v>
      </c>
      <c r="C47" s="32" t="n">
        <v>3600</v>
      </c>
      <c r="D47" s="31" t="inlineStr">
        <is>
          <t>cfi_s1_opex_other</t>
        </is>
      </c>
    </row>
    <row r="48">
      <c r="A48" s="41" t="inlineStr">
        <is>
          <t>Other Subtotal</t>
        </is>
      </c>
      <c r="B48" s="42" t="n">
        <v>1333</v>
      </c>
      <c r="C48" s="42" t="n">
        <v>16000</v>
      </c>
      <c r="D48" s="41" t="inlineStr"/>
    </row>
    <row r="49">
      <c r="A49" s="31" t="inlineStr"/>
      <c r="B49" s="31" t="n"/>
      <c r="C49" s="31" t="n"/>
      <c r="D49" s="31" t="inlineStr"/>
    </row>
    <row r="50">
      <c r="A50" s="31" t="inlineStr">
        <is>
          <t>DEPRECIATION (non-cash)</t>
        </is>
      </c>
      <c r="B50" s="31" t="n"/>
      <c r="C50" s="31" t="n"/>
      <c r="D50" s="31" t="inlineStr"/>
    </row>
    <row r="51">
      <c r="A51" s="31" t="inlineStr">
        <is>
          <t xml:space="preserve">  Building (20yr straight line)</t>
        </is>
      </c>
      <c r="B51" s="32" t="n">
        <v>5729</v>
      </c>
      <c r="C51" s="32" t="n">
        <v>68730</v>
      </c>
      <c r="D51" s="31" t="inlineStr">
        <is>
          <t>$1,374,610 / 20yr</t>
        </is>
      </c>
    </row>
    <row r="52">
      <c r="A52" s="31" t="inlineStr">
        <is>
          <t xml:space="preserve">  Equipment (7yr straight line)</t>
        </is>
      </c>
      <c r="B52" s="32" t="n">
        <v>2774</v>
      </c>
      <c r="C52" s="32" t="n">
        <v>33286</v>
      </c>
      <c r="D52" s="31" t="inlineStr">
        <is>
          <t>$233,000 / 7yr</t>
        </is>
      </c>
    </row>
    <row r="53">
      <c r="A53" s="41" t="inlineStr">
        <is>
          <t>Depreciation Subtotal</t>
        </is>
      </c>
      <c r="B53" s="42" t="n">
        <v>8503</v>
      </c>
      <c r="C53" s="42" t="n">
        <v>102016</v>
      </c>
      <c r="D53" s="41" t="inlineStr">
        <is>
          <t>Non-cash</t>
        </is>
      </c>
    </row>
    <row r="54">
      <c r="A54" s="31" t="inlineStr"/>
      <c r="B54" s="31" t="n"/>
      <c r="C54" s="31" t="n"/>
      <c r="D54" s="31" t="inlineStr"/>
    </row>
    <row r="55">
      <c r="A55" s="31" t="inlineStr">
        <is>
          <t>PKSA (Palm Kernel Shell Ash)</t>
        </is>
      </c>
      <c r="B55" s="35" t="n">
        <v>0</v>
      </c>
      <c r="C55" s="35" t="n">
        <v>0</v>
      </c>
      <c r="D55" s="31" t="inlineStr">
        <is>
          <t>FREE — mill waste product</t>
        </is>
      </c>
    </row>
    <row r="56">
      <c r="A56" s="31" t="inlineStr"/>
      <c r="B56" s="31" t="n"/>
      <c r="C56" s="31" t="n"/>
      <c r="D56" s="31" t="inlineStr"/>
    </row>
    <row r="57">
      <c r="A57" s="36" t="inlineStr">
        <is>
          <t>DATA GAPS (not yet costed)</t>
        </is>
      </c>
      <c r="B57" s="31" t="n"/>
      <c r="C57" s="31" t="n"/>
      <c r="D57" s="31" t="inlineStr"/>
    </row>
    <row r="58">
      <c r="A58" s="31" t="inlineStr">
        <is>
          <t xml:space="preserve">  Land / co-location lease</t>
        </is>
      </c>
      <c r="B58" s="31" t="n"/>
      <c r="C58" s="31" t="n"/>
      <c r="D58" s="36" t="inlineStr">
        <is>
          <t>DATA GAP — negotiate with mill</t>
        </is>
      </c>
    </row>
    <row r="59">
      <c r="A59" s="31" t="inlineStr">
        <is>
          <t xml:space="preserve">  Asset insurance (~0.5-1% replacement)</t>
        </is>
      </c>
      <c r="B59" s="31" t="n"/>
      <c r="C59" s="31" t="n"/>
      <c r="D59" s="36" t="inlineStr">
        <is>
          <t>DATA GAP — broker quote needed</t>
        </is>
      </c>
    </row>
    <row r="60">
      <c r="A60" s="31" t="inlineStr">
        <is>
          <t xml:space="preserve">  Public liability insurance</t>
        </is>
      </c>
      <c r="B60" s="31" t="n"/>
      <c r="C60" s="31" t="n"/>
      <c r="D60" s="36" t="inlineStr">
        <is>
          <t>DATA GAP — required before ops</t>
        </is>
      </c>
    </row>
    <row r="61">
      <c r="A61" s="31" t="inlineStr">
        <is>
          <t xml:space="preserve">  Working capital buffer (3mo OPEX)</t>
        </is>
      </c>
      <c r="B61" s="31" t="n"/>
      <c r="C61" s="31" t="n"/>
      <c r="D61" s="36" t="inlineStr">
        <is>
          <t>DATA GAP — est. $75-100K one-off</t>
        </is>
      </c>
    </row>
    <row r="62">
      <c r="A62" s="31" t="inlineStr">
        <is>
          <t xml:space="preserve">  Commissioning (5-8% equip CAPEX)</t>
        </is>
      </c>
      <c r="B62" s="31" t="n"/>
      <c r="C62" s="31" t="n"/>
      <c r="D62" s="36" t="inlineStr">
        <is>
          <t>DATA GAP — est. $12-19K one-off</t>
        </is>
      </c>
    </row>
    <row r="63">
      <c r="A63" s="37" t="inlineStr">
        <is>
          <t>TOTAL MONTHLY OPEX (excl. depreciation)</t>
        </is>
      </c>
      <c r="B63" s="38" t="n">
        <v>63464</v>
      </c>
      <c r="C63" s="38" t="n">
        <v>761568</v>
      </c>
    </row>
    <row r="64">
      <c r="A64" s="43" t="inlineStr">
        <is>
          <t>TOTAL MONTHLY OPEX (incl. depreciation)</t>
        </is>
      </c>
      <c r="B64" s="40" t="n">
        <v>71967</v>
      </c>
      <c r="C64" s="40" t="n">
        <v>863584</v>
      </c>
    </row>
    <row r="65">
      <c r="A65" s="44" t="inlineStr">
        <is>
          <t>COST PER TONNE FW PROCESSED</t>
        </is>
      </c>
      <c r="B65" s="45" t="n">
        <v>7.78</v>
      </c>
      <c r="D65" s="31" t="inlineStr">
        <is>
          <t>$63,464 / 8,157 t FW/mo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6" customWidth="1" min="3" max="3"/>
    <col width="24" customWidth="1" min="4" max="4"/>
    <col width="8" customWidth="1" min="5" max="5"/>
    <col width="12" customWidth="1" min="6" max="6"/>
    <col width="10" customWidth="1" min="7" max="7"/>
    <col width="23" customWidth="1" min="8" max="8"/>
  </cols>
  <sheetData>
    <row r="1">
      <c r="A1" s="29" t="inlineStr">
        <is>
          <t>5-ORGANISM ONE-SHOT MIX — All Added Same Time</t>
        </is>
      </c>
    </row>
    <row r="2"/>
    <row r="3">
      <c r="A3" s="30" t="inlineStr">
        <is>
          <t>#</t>
        </is>
      </c>
      <c r="B3" s="30" t="inlineStr">
        <is>
          <t>Organism</t>
        </is>
      </c>
      <c r="C3" s="30" t="inlineStr">
        <is>
          <t>Primary Function</t>
        </is>
      </c>
      <c r="D3" s="30" t="inlineStr">
        <is>
          <t>Secondary Function</t>
        </is>
      </c>
      <c r="E3" s="30" t="inlineStr">
        <is>
          <t>$/kg</t>
        </is>
      </c>
      <c r="F3" s="30" t="inlineStr">
        <is>
          <t>Dose %DM</t>
        </is>
      </c>
      <c r="G3" s="30" t="inlineStr">
        <is>
          <t>$/t FW</t>
        </is>
      </c>
      <c r="H3" s="30" t="inlineStr">
        <is>
          <t>Gas Control</t>
        </is>
      </c>
    </row>
    <row r="4">
      <c r="A4" s="31" t="n">
        <v>1</v>
      </c>
      <c r="B4" s="31" t="inlineStr">
        <is>
          <t>Lactobacillus EM-4</t>
        </is>
      </c>
      <c r="C4" s="31" t="inlineStr">
        <is>
          <t>pH buffer (→5.5-6.0)</t>
        </is>
      </c>
      <c r="D4" s="31" t="inlineStr">
        <is>
          <t>Pathogen suppression</t>
        </is>
      </c>
      <c r="E4" s="46" t="n">
        <v>0.17</v>
      </c>
      <c r="F4" s="47" t="n">
        <v>0.0008</v>
      </c>
      <c r="G4" s="48" t="n">
        <v>0.05</v>
      </c>
      <c r="H4" s="31" t="inlineStr">
        <is>
          <t>CH4 ↓70-80%</t>
        </is>
      </c>
    </row>
    <row r="5">
      <c r="A5" s="31" t="n">
        <v>2</v>
      </c>
      <c r="B5" s="31" t="inlineStr">
        <is>
          <t>Saccharomyces cerevisiae</t>
        </is>
      </c>
      <c r="C5" s="31" t="inlineStr">
        <is>
          <t>NH3 retention (50%)</t>
        </is>
      </c>
      <c r="D5" s="31" t="inlineStr">
        <is>
          <t>Sugar fermentation</t>
        </is>
      </c>
      <c r="E5" s="46" t="n">
        <v>0.3</v>
      </c>
      <c r="F5" s="47" t="n">
        <v>0.001</v>
      </c>
      <c r="G5" s="48" t="n">
        <v>0.11</v>
      </c>
      <c r="H5" s="31" t="inlineStr">
        <is>
          <t>NH3 ↓50%, CO2 shift</t>
        </is>
      </c>
    </row>
    <row r="6">
      <c r="A6" s="31" t="n">
        <v>3</v>
      </c>
      <c r="B6" s="31" t="inlineStr">
        <is>
          <t>Bacillus subtilis</t>
        </is>
      </c>
      <c r="C6" s="31" t="inlineStr">
        <is>
          <t>Cellulase production</t>
        </is>
      </c>
      <c r="D6" s="31" t="inlineStr">
        <is>
          <t>Protease, lipase</t>
        </is>
      </c>
      <c r="E6" s="46" t="n">
        <v>0.2</v>
      </c>
      <c r="F6" s="47" t="n">
        <v>0.0003</v>
      </c>
      <c r="G6" s="48" t="n">
        <v>0.02</v>
      </c>
      <c r="H6" s="31" t="inlineStr">
        <is>
          <t>Aerobic (anti-CH4)</t>
        </is>
      </c>
    </row>
    <row r="7">
      <c r="A7" s="31" t="n">
        <v>4</v>
      </c>
      <c r="B7" s="31" t="inlineStr">
        <is>
          <t>Azotobacter vinelandii</t>
        </is>
      </c>
      <c r="C7" s="31" t="inlineStr">
        <is>
          <t>N-fixation (+5 kg N/t)</t>
        </is>
      </c>
      <c r="D7" s="31" t="inlineStr">
        <is>
          <t>BSF protein source</t>
        </is>
      </c>
      <c r="E7" s="46" t="n">
        <v>0.4</v>
      </c>
      <c r="F7" s="47" t="n">
        <v>0.001</v>
      </c>
      <c r="G7" s="48" t="n">
        <v>0.05</v>
      </c>
      <c r="H7" s="31" t="inlineStr">
        <is>
          <t>—</t>
        </is>
      </c>
    </row>
    <row r="8">
      <c r="A8" s="31" t="n">
        <v>5</v>
      </c>
      <c r="B8" s="31" t="inlineStr">
        <is>
          <t>Trichoderma harzianum</t>
        </is>
      </c>
      <c r="C8" s="31" t="inlineStr">
        <is>
          <t>GANODERMA BIOCONTROL</t>
        </is>
      </c>
      <c r="D8" s="31" t="inlineStr">
        <is>
          <t>Cellulase production</t>
        </is>
      </c>
      <c r="E8" s="46" t="n">
        <v>1.5</v>
      </c>
      <c r="F8" s="47" t="n">
        <v>0.0008</v>
      </c>
      <c r="G8" s="48" t="n">
        <v>0.42</v>
      </c>
      <c r="H8" s="31" t="inlineStr">
        <is>
          <t>—</t>
        </is>
      </c>
    </row>
    <row r="9">
      <c r="A9" s="37" t="inlineStr">
        <is>
          <t>TOTAL</t>
        </is>
      </c>
      <c r="G9" s="49" t="n">
        <v>0.65</v>
      </c>
      <c r="H9" s="34" t="inlineStr">
        <is>
          <t>CH4↓70%, NH3↓50%</t>
        </is>
      </c>
    </row>
    <row r="10">
      <c r="A10" s="39" t="inlineStr">
        <is>
          <t>Monthly cost at 8,157 t FW/mo</t>
        </is>
      </c>
      <c r="G10" s="40" t="n">
        <v>5302</v>
      </c>
    </row>
    <row r="11">
      <c r="A11" s="39" t="inlineStr">
        <is>
          <t>PKSA (Palm Kernel Shell Ash)</t>
        </is>
      </c>
      <c r="G11" s="50" t="inlineStr">
        <is>
          <t>FREE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8" customWidth="1" min="3" max="3"/>
    <col width="13" customWidth="1" min="4" max="4"/>
    <col width="24" customWidth="1" min="5" max="5"/>
    <col width="44" customWidth="1" min="6" max="6"/>
  </cols>
  <sheetData>
    <row r="1">
      <c r="A1" s="29" t="inlineStr">
        <is>
          <t>CFI COMPLETE HEADCOUNT — 18.5 FTE All Stages</t>
        </is>
      </c>
    </row>
    <row r="2"/>
    <row r="3">
      <c r="A3" s="30" t="inlineStr">
        <is>
          <t>Stage</t>
        </is>
      </c>
      <c r="B3" s="30" t="inlineStr">
        <is>
          <t>Role</t>
        </is>
      </c>
      <c r="C3" s="30" t="inlineStr">
        <is>
          <t>FTE</t>
        </is>
      </c>
      <c r="D3" s="30" t="inlineStr">
        <is>
          <t>USD/month</t>
        </is>
      </c>
      <c r="E3" s="30" t="inlineStr">
        <is>
          <t>Shift Pattern</t>
        </is>
      </c>
      <c r="F3" s="30" t="inlineStr">
        <is>
          <t>Machines/Scope</t>
        </is>
      </c>
    </row>
    <row r="4">
      <c r="A4" s="31" t="inlineStr">
        <is>
          <t>S1</t>
        </is>
      </c>
      <c r="B4" s="31" t="inlineStr">
        <is>
          <t>EFB Line Operator</t>
        </is>
      </c>
      <c r="C4" s="31" t="n">
        <v>2</v>
      </c>
      <c r="D4" s="48" t="n">
        <v>949.36</v>
      </c>
      <c r="E4" s="31" t="inlineStr">
        <is>
          <t>2 shifts × 12hr</t>
        </is>
      </c>
      <c r="F4" s="31" t="inlineStr">
        <is>
          <t>①-⑩ (10 machines)</t>
        </is>
      </c>
    </row>
    <row r="5">
      <c r="A5" s="31" t="inlineStr">
        <is>
          <t>S1</t>
        </is>
      </c>
      <c r="B5" s="31" t="inlineStr">
        <is>
          <t>OPDC Line Operator</t>
        </is>
      </c>
      <c r="C5" s="31" t="n">
        <v>2</v>
      </c>
      <c r="D5" s="48" t="n">
        <v>949.36</v>
      </c>
      <c r="E5" s="31" t="inlineStr">
        <is>
          <t>2 shifts × 12hr</t>
        </is>
      </c>
      <c r="F5" s="31" t="inlineStr">
        <is>
          <t>⑪-⑳ (10 machines)</t>
        </is>
      </c>
    </row>
    <row r="6">
      <c r="A6" s="31" t="inlineStr">
        <is>
          <t>S1</t>
        </is>
      </c>
      <c r="B6" s="31" t="inlineStr">
        <is>
          <t>Maintenance Technician</t>
        </is>
      </c>
      <c r="C6" s="31" t="n">
        <v>1</v>
      </c>
      <c r="D6" s="48" t="n">
        <v>569.62</v>
      </c>
      <c r="E6" s="31" t="inlineStr">
        <is>
          <t>Day + on-call</t>
        </is>
      </c>
      <c r="F6" s="31" t="inlineStr">
        <is>
          <t>All S1 lines, PM + reactive</t>
        </is>
      </c>
    </row>
    <row r="7">
      <c r="A7" s="31" t="inlineStr">
        <is>
          <t>S1</t>
        </is>
      </c>
      <c r="B7" s="31" t="inlineStr">
        <is>
          <t>Quality &amp; Gate Checker</t>
        </is>
      </c>
      <c r="C7" s="31" t="n">
        <v>1</v>
      </c>
      <c r="D7" s="48" t="n">
        <v>411.39</v>
      </c>
      <c r="E7" s="31" t="inlineStr">
        <is>
          <t>Day shift</t>
        </is>
      </c>
      <c r="F7" s="31" t="inlineStr">
        <is>
          <t>Gates B.G1/B.G2/C.G1-G3, pH</t>
        </is>
      </c>
    </row>
    <row r="8">
      <c r="A8" s="31" t="inlineStr">
        <is>
          <t>S1</t>
        </is>
      </c>
      <c r="B8" s="31" t="inlineStr">
        <is>
          <t>Shift Supervisor</t>
        </is>
      </c>
      <c r="C8" s="31" t="n">
        <v>1</v>
      </c>
      <c r="D8" s="48" t="n">
        <v>696.2</v>
      </c>
      <c r="E8" s="31" t="inlineStr">
        <is>
          <t>Rotating all shifts</t>
        </is>
      </c>
      <c r="F8" s="31" t="inlineStr">
        <is>
          <t>All lines, safety, scheduling</t>
        </is>
      </c>
    </row>
    <row r="9">
      <c r="A9" s="31" t="inlineStr">
        <is>
          <t>S3</t>
        </is>
      </c>
      <c r="B9" s="31" t="inlineStr">
        <is>
          <t>Inoculation Operators</t>
        </is>
      </c>
      <c r="C9" s="31" t="n">
        <v>2</v>
      </c>
      <c r="D9" s="48" t="n">
        <v>700</v>
      </c>
      <c r="E9" s="31" t="inlineStr">
        <is>
          <t>Day shift</t>
        </is>
      </c>
      <c r="F9" s="31" t="inlineStr">
        <is>
          <t>Wave 1+2 spray, pH, batch records</t>
        </is>
      </c>
    </row>
    <row r="10">
      <c r="A10" s="31" t="inlineStr">
        <is>
          <t>S3</t>
        </is>
      </c>
      <c r="B10" s="31" t="inlineStr">
        <is>
          <t>QC Technician (0.5 shared S2)</t>
        </is>
      </c>
      <c r="C10" s="31" t="n">
        <v>0.5</v>
      </c>
      <c r="D10" s="48" t="n">
        <v>350</v>
      </c>
      <c r="E10" s="31" t="inlineStr">
        <is>
          <t>Day shift</t>
        </is>
      </c>
      <c r="F10" s="31" t="inlineStr">
        <is>
          <t>pH calibration, substrate sampling</t>
        </is>
      </c>
    </row>
    <row r="11">
      <c r="A11" s="31" t="inlineStr">
        <is>
          <t>S4</t>
        </is>
      </c>
      <c r="B11" s="31" t="inlineStr">
        <is>
          <t>BSF Rearing Operators</t>
        </is>
      </c>
      <c r="C11" s="31" t="n">
        <v>3</v>
      </c>
      <c r="D11" s="48" t="n">
        <v>1050</v>
      </c>
      <c r="E11" s="31" t="inlineStr">
        <is>
          <t>Shift operation</t>
        </is>
      </c>
      <c r="F11" s="31" t="inlineStr">
        <is>
          <t>Substrate load, larval transfer, harvest</t>
        </is>
      </c>
    </row>
    <row r="12">
      <c r="A12" s="31" t="inlineStr">
        <is>
          <t>S4</t>
        </is>
      </c>
      <c r="B12" s="31" t="inlineStr">
        <is>
          <t>BSF Colony Technician</t>
        </is>
      </c>
      <c r="C12" s="31" t="n">
        <v>1</v>
      </c>
      <c r="D12" s="48" t="n">
        <v>500</v>
      </c>
      <c r="E12" s="31" t="inlineStr">
        <is>
          <t>Day shift</t>
        </is>
      </c>
      <c r="F12" s="31" t="inlineStr">
        <is>
          <t>Egg collection, neonate seeding, mating</t>
        </is>
      </c>
    </row>
    <row r="13">
      <c r="A13" s="31" t="inlineStr">
        <is>
          <t>S5</t>
        </is>
      </c>
      <c r="B13" s="31" t="inlineStr">
        <is>
          <t>Dryer/Granulator Operators</t>
        </is>
      </c>
      <c r="C13" s="31" t="n">
        <v>2</v>
      </c>
      <c r="D13" s="48" t="n">
        <v>700</v>
      </c>
      <c r="E13" s="31" t="inlineStr">
        <is>
          <t>Shift rotation w/ S6</t>
        </is>
      </c>
      <c r="F13" s="31" t="inlineStr">
        <is>
          <t>Dryer, granulator, screener, bagging</t>
        </is>
      </c>
    </row>
    <row r="14">
      <c r="A14" s="31" t="inlineStr">
        <is>
          <t>S5</t>
        </is>
      </c>
      <c r="B14" s="31" t="inlineStr">
        <is>
          <t>QC / Product Sampling (0.5)</t>
        </is>
      </c>
      <c r="C14" s="31" t="n">
        <v>0.5</v>
      </c>
      <c r="D14" s="48" t="n">
        <v>175</v>
      </c>
      <c r="E14" s="31" t="inlineStr">
        <is>
          <t>Day shift</t>
        </is>
      </c>
      <c r="F14" s="31" t="inlineStr">
        <is>
          <t>Moisture, granule size, SNI compliance</t>
        </is>
      </c>
    </row>
    <row r="15">
      <c r="A15" s="31" t="inlineStr">
        <is>
          <t>S6</t>
        </is>
      </c>
      <c r="B15" s="31" t="inlineStr">
        <is>
          <t>Processing Operators</t>
        </is>
      </c>
      <c r="C15" s="31" t="n">
        <v>2</v>
      </c>
      <c r="D15" s="48" t="n">
        <v>800</v>
      </c>
      <c r="E15" s="31" t="inlineStr">
        <is>
          <t>Shift (FSSC trained)</t>
        </is>
      </c>
      <c r="F15" s="31" t="inlineStr">
        <is>
          <t>Dryer, press, hammer mill, bagging</t>
        </is>
      </c>
    </row>
    <row r="16">
      <c r="A16" s="31" t="inlineStr">
        <is>
          <t>S6</t>
        </is>
      </c>
      <c r="B16" s="31" t="inlineStr">
        <is>
          <t>QC / Food Safety (0.5)</t>
        </is>
      </c>
      <c r="C16" s="31" t="n">
        <v>0.5</v>
      </c>
      <c r="D16" s="48" t="n">
        <v>200</v>
      </c>
      <c r="E16" s="31" t="inlineStr">
        <is>
          <t>Day shift</t>
        </is>
      </c>
      <c r="F16" s="31" t="inlineStr">
        <is>
          <t>Protein, moisture, pathogen (SNI 3148)</t>
        </is>
      </c>
    </row>
    <row r="17">
      <c r="A17" s="37" t="inlineStr">
        <is>
          <t>TOTAL</t>
        </is>
      </c>
      <c r="C17" s="37" t="n">
        <v>18.5</v>
      </c>
      <c r="D17" s="38" t="n">
        <v>8051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6" customWidth="1" min="4" max="4"/>
  </cols>
  <sheetData>
    <row r="1" ht="25" customHeight="1">
      <c r="A1" s="1" t="inlineStr">
        <is>
          <t>CFI MASTER MODEL - COMPLETE NAVIGATION</t>
        </is>
      </c>
    </row>
    <row r="3">
      <c r="A3" s="2" t="inlineStr">
        <is>
          <t>SECTION</t>
        </is>
      </c>
      <c r="B3" s="2" t="inlineStr">
        <is>
          <t>SHEET NAME</t>
        </is>
      </c>
      <c r="C3" s="2" t="inlineStr">
        <is>
          <t>PURPOSE</t>
        </is>
      </c>
      <c r="D3" s="2" t="inlineStr">
        <is>
          <t>TAB</t>
        </is>
      </c>
    </row>
    <row r="4">
      <c r="A4" s="3" t="inlineStr">
        <is>
          <t>NAVIGATION</t>
        </is>
      </c>
      <c r="B4" s="3" t="inlineStr">
        <is>
          <t>0_CONTENTS</t>
        </is>
      </c>
      <c r="C4" s="3" t="inlineStr">
        <is>
          <t>Sheet navigation &amp; overview</t>
        </is>
      </c>
      <c r="D4" s="3" t="n">
        <v>1</v>
      </c>
    </row>
    <row r="5">
      <c r="A5" s="3" t="inlineStr"/>
      <c r="B5" s="3" t="inlineStr">
        <is>
          <t>0A_PROGRAM_OVERVIEW</t>
        </is>
      </c>
      <c r="C5" s="3" t="inlineStr">
        <is>
          <t>5-slide visual summary of program</t>
        </is>
      </c>
      <c r="D5" s="3" t="n">
        <v>2</v>
      </c>
    </row>
    <row r="6">
      <c r="A6" s="3" t="inlineStr"/>
      <c r="B6" s="3" t="inlineStr">
        <is>
          <t>0B_STAGE_SUMMARY</t>
        </is>
      </c>
      <c r="C6" s="3" t="inlineStr">
        <is>
          <t>Executive summary table</t>
        </is>
      </c>
      <c r="D6" s="3" t="n">
        <v>3</v>
      </c>
    </row>
    <row r="7">
      <c r="A7" s="3" t="inlineStr"/>
      <c r="B7" s="3" t="inlineStr">
        <is>
          <t>0C_QUICK_START</t>
        </is>
      </c>
      <c r="C7" s="3" t="inlineStr">
        <is>
          <t>Scenario recommendation tool</t>
        </is>
      </c>
      <c r="D7" s="3" t="n">
        <v>4</v>
      </c>
    </row>
    <row r="8">
      <c r="A8" s="3" t="inlineStr"/>
      <c r="B8" s="3" t="inlineStr">
        <is>
          <t>0D_ECONOMICS_SUMMARY</t>
        </is>
      </c>
      <c r="C8" s="3" t="inlineStr">
        <is>
          <t>Cost/time/revenue comparison</t>
        </is>
      </c>
      <c r="D8" s="3" t="n">
        <v>5</v>
      </c>
    </row>
    <row r="9">
      <c r="A9" s="3" t="inlineStr">
        <is>
          <t>CONTROL</t>
        </is>
      </c>
      <c r="B9" s="3" t="inlineStr">
        <is>
          <t>1_INPUT_CONTROL</t>
        </is>
      </c>
      <c r="C9" s="3" t="inlineStr">
        <is>
          <t>Master control - dropdown selections</t>
        </is>
      </c>
      <c r="D9" s="3" t="n">
        <v>6</v>
      </c>
    </row>
    <row r="10">
      <c r="A10" s="3" t="inlineStr">
        <is>
          <t>STAGE 0</t>
        </is>
      </c>
      <c r="B10" s="3" t="inlineStr">
        <is>
          <t>2_STAGE0_MECHANICAL</t>
        </is>
      </c>
      <c r="C10" s="3" t="inlineStr">
        <is>
          <t>Mechanical shredding (5mm output)</t>
        </is>
      </c>
      <c r="D10" s="3" t="n">
        <v>7</v>
      </c>
    </row>
    <row r="11">
      <c r="A11" s="3" t="inlineStr">
        <is>
          <t>STAGE 1</t>
        </is>
      </c>
      <c r="B11" s="3" t="inlineStr">
        <is>
          <t>3_STAGE1_CHEMICAL</t>
        </is>
      </c>
      <c r="C11" s="3" t="inlineStr">
        <is>
          <t>Chemical pathways 1A-1F</t>
        </is>
      </c>
      <c r="D11" s="3" t="n">
        <v>8</v>
      </c>
    </row>
    <row r="12">
      <c r="A12" s="3" t="inlineStr"/>
      <c r="B12" s="3" t="inlineStr">
        <is>
          <t>3B_GREENHOUSE_SPEC</t>
        </is>
      </c>
      <c r="C12" s="3" t="inlineStr">
        <is>
          <t>Greenhouse A specifications</t>
        </is>
      </c>
      <c r="D12" s="3" t="n">
        <v>9</v>
      </c>
    </row>
    <row r="13">
      <c r="A13" s="3" t="inlineStr">
        <is>
          <t>STAGE 2</t>
        </is>
      </c>
      <c r="B13" s="3" t="inlineStr">
        <is>
          <t>4_STAGE2_BIOLOGICAL</t>
        </is>
      </c>
      <c r="C13" s="3" t="inlineStr">
        <is>
          <t>Biological pathways 2A-2F</t>
        </is>
      </c>
      <c r="D13" s="3" t="n">
        <v>10</v>
      </c>
    </row>
    <row r="14">
      <c r="A14" s="3" t="inlineStr"/>
      <c r="B14" s="3" t="inlineStr">
        <is>
          <t>4G_GREENHOUSE_SPEC</t>
        </is>
      </c>
      <c r="C14" s="3" t="inlineStr">
        <is>
          <t>Greenhouse B specifications</t>
        </is>
      </c>
      <c r="D14" s="3" t="n">
        <v>11</v>
      </c>
    </row>
    <row r="15">
      <c r="A15" s="3" t="inlineStr"/>
      <c r="B15" s="3" t="inlineStr">
        <is>
          <t>4H_STAGE2_RESULTS</t>
        </is>
      </c>
      <c r="C15" s="3" t="inlineStr">
        <is>
          <t>Nutrient targets &amp; maturity gates</t>
        </is>
      </c>
      <c r="D15" s="3" t="n">
        <v>12</v>
      </c>
    </row>
    <row r="16">
      <c r="A16" s="3" t="inlineStr">
        <is>
          <t>STAGE 3</t>
        </is>
      </c>
      <c r="B16" s="3" t="inlineStr">
        <is>
          <t>5_STAGE3_COMPOST</t>
        </is>
      </c>
      <c r="C16" s="3" t="inlineStr">
        <is>
          <t>Drying &amp; finishing (14 days)</t>
        </is>
      </c>
      <c r="D16" s="3" t="n">
        <v>13</v>
      </c>
    </row>
    <row r="17">
      <c r="A17" s="3" t="inlineStr"/>
      <c r="B17" s="3" t="inlineStr">
        <is>
          <t>5A_PRODUCT_SPECS</t>
        </is>
      </c>
      <c r="C17" s="3" t="inlineStr">
        <is>
          <t>Lab analysis - initial vs final</t>
        </is>
      </c>
      <c r="D17" s="3" t="n">
        <v>14</v>
      </c>
    </row>
    <row r="18">
      <c r="A18" s="3" t="inlineStr">
        <is>
          <t>STAGE 4-6</t>
        </is>
      </c>
      <c r="B18" s="3" t="inlineStr">
        <is>
          <t>6_STAGE4_BSF</t>
        </is>
      </c>
      <c r="C18" s="3" t="inlineStr">
        <is>
          <t>BSF inoculation &amp; monitoring</t>
        </is>
      </c>
      <c r="D18" s="3" t="n">
        <v>15</v>
      </c>
    </row>
    <row r="19">
      <c r="A19" s="3" t="inlineStr"/>
      <c r="B19" s="3" t="inlineStr">
        <is>
          <t>7_STAGE5_DRYPACK</t>
        </is>
      </c>
      <c r="C19" s="3" t="inlineStr">
        <is>
          <t>Harvest decision (Pathway A vs B)</t>
        </is>
      </c>
      <c r="D19" s="3" t="n">
        <v>16</v>
      </c>
    </row>
    <row r="20">
      <c r="A20" s="3" t="inlineStr"/>
      <c r="B20" s="3" t="inlineStr">
        <is>
          <t>8_STAGE6_ENHANCE</t>
        </is>
      </c>
      <c r="C20" s="3" t="inlineStr">
        <is>
          <t>Post-harvest (6A: finish, 6B: split)</t>
        </is>
      </c>
      <c r="D20" s="3" t="n">
        <v>17</v>
      </c>
    </row>
    <row r="21">
      <c r="A21" s="3" t="inlineStr">
        <is>
          <t>ECONOMICS</t>
        </is>
      </c>
      <c r="B21" s="3" t="inlineStr">
        <is>
          <t>9_PATHWAY_SCENARIOS</t>
        </is>
      </c>
      <c r="C21" s="3" t="inlineStr">
        <is>
          <t>5 scenarios: cost, time, products</t>
        </is>
      </c>
      <c r="D21" s="3" t="n">
        <v>18</v>
      </c>
    </row>
    <row r="22">
      <c r="A22" s="3" t="inlineStr"/>
      <c r="B22" s="3" t="inlineStr">
        <is>
          <t>9A_PLANTATION_COMBINATIONS</t>
        </is>
      </c>
      <c r="C22" s="3" t="inlineStr">
        <is>
          <t>Company-specific recommendations</t>
        </is>
      </c>
      <c r="D22" s="3" t="n">
        <v>19</v>
      </c>
    </row>
    <row r="23">
      <c r="A23" s="3" t="inlineStr">
        <is>
          <t>COST TRACKING</t>
        </is>
      </c>
      <c r="B23" s="3" t="inlineStr">
        <is>
          <t>10_COST_TRACKING_MASTER</t>
        </is>
      </c>
      <c r="C23" s="3" t="inlineStr">
        <is>
          <t>All-in-one cost calculation</t>
        </is>
      </c>
      <c r="D23" s="3" t="n">
        <v>20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0A PROGRAM OVERVIEW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0B STAGE SUMMARY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0C QUICK START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0D ECONOMICS SUMMARY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9" t="inlineStr">
        <is>
          <t>CIRCULAR FARMING INDONESIA (CFI)</t>
        </is>
      </c>
    </row>
    <row r="2" ht="20" customHeight="1">
      <c r="A2" s="10" t="inlineStr">
        <is>
          <t>Master Control - Select Your Scenario &amp; Inputs</t>
        </is>
      </c>
    </row>
    <row r="3">
      <c r="A3" s="11" t="n"/>
      <c r="B3" s="11" t="n"/>
      <c r="C3" s="11" t="n"/>
      <c r="D3" s="11" t="n"/>
    </row>
    <row r="4">
      <c r="A4" s="12" t="inlineStr">
        <is>
          <t>INPUT PARAMETERS</t>
        </is>
      </c>
      <c r="B4" s="13" t="n"/>
      <c r="C4" s="13" t="n"/>
      <c r="D4" s="13" t="n"/>
      <c r="E4" s="14" t="n"/>
    </row>
    <row r="5">
      <c r="A5" s="15" t="inlineStr">
        <is>
          <t>Residue Type</t>
        </is>
      </c>
      <c r="B5" s="16" t="inlineStr">
        <is>
          <t>None</t>
        </is>
      </c>
      <c r="C5" s="17" t="inlineStr">
        <is>
          <t>Source material (None | EFB | OPDC | PKS | Mixed)</t>
        </is>
      </c>
      <c r="D5" s="3" t="n"/>
    </row>
    <row r="6">
      <c r="A6" s="15" t="inlineStr">
        <is>
          <t>Tonnes Input</t>
        </is>
      </c>
      <c r="B6" s="16" t="n">
        <v>100</v>
      </c>
      <c r="C6" s="17" t="inlineStr">
        <is>
          <t>Amount to process (must be &gt; 0 tonnes)</t>
        </is>
      </c>
      <c r="D6" s="3" t="n"/>
    </row>
    <row r="7">
      <c r="A7" s="15" t="inlineStr">
        <is>
          <t>Mill Selection</t>
        </is>
      </c>
      <c r="B7" s="16" t="inlineStr">
        <is>
          <t>Wilmar</t>
        </is>
      </c>
      <c r="C7" s="17" t="inlineStr">
        <is>
          <t>Which mill's specs to use (Wilmar | GAR | Astra | Custom)</t>
        </is>
      </c>
      <c r="D7" s="3" t="n"/>
    </row>
    <row r="8">
      <c r="A8" s="18" t="inlineStr">
        <is>
          <t>*** SCENARIO SELECTION (Choose one) ***</t>
        </is>
      </c>
      <c r="B8" s="13" t="n"/>
      <c r="C8" s="13" t="n"/>
      <c r="D8" s="13" t="n"/>
      <c r="E8" s="14" t="n"/>
    </row>
    <row r="9">
      <c r="A9" s="15" t="inlineStr">
        <is>
          <t>Select Scenario</t>
        </is>
      </c>
      <c r="B9" s="16" t="inlineStr">
        <is>
          <t>1</t>
        </is>
      </c>
      <c r="C9" s="17" t="inlineStr">
        <is>
          <t>Choose 1, 2, 3A, 3B, or 4 - determines which stages to process</t>
        </is>
      </c>
      <c r="D9" s="3" t="n"/>
    </row>
    <row r="10">
      <c r="A10" s="15" t="inlineStr">
        <is>
          <t>Chemical Pathway (S1)</t>
        </is>
      </c>
      <c r="B10" s="16" t="inlineStr">
        <is>
          <t>1A</t>
        </is>
      </c>
      <c r="C10" s="17" t="inlineStr">
        <is>
          <t>Stage 1 chemical treatment (1A-1F pathways)</t>
        </is>
      </c>
      <c r="D10" s="3" t="n"/>
    </row>
    <row r="11">
      <c r="A11" s="15" t="inlineStr">
        <is>
          <t>Biological Pathway (S2)</t>
        </is>
      </c>
      <c r="B11" s="16" t="inlineStr">
        <is>
          <t>2A</t>
        </is>
      </c>
      <c r="C11" s="17" t="inlineStr">
        <is>
          <t>Stage 2 inoculation &amp; fermentation (2A-2F pathways)</t>
        </is>
      </c>
      <c r="D11" s="3" t="n"/>
    </row>
    <row r="12">
      <c r="A12" s="19" t="inlineStr">
        <is>
          <t>Compost Pathway (S3)</t>
        </is>
      </c>
      <c r="B12" s="20" t="inlineStr">
        <is>
          <t>3A</t>
        </is>
      </c>
      <c r="C12" s="21" t="inlineStr">
        <is>
          <t>Stage 3 finishing method (3A Standard | 3B Enhanced)</t>
        </is>
      </c>
    </row>
    <row r="13">
      <c r="A13" s="19" t="inlineStr">
        <is>
          <t>BSF Pathway (S4)*</t>
        </is>
      </c>
      <c r="B13" s="20" t="inlineStr">
        <is>
          <t>4A</t>
        </is>
      </c>
      <c r="C13" s="21" t="inlineStr">
        <is>
          <t>Stage 4 BSF extraction (4A | 4B) - required only if Scenario 3A/3B</t>
        </is>
      </c>
    </row>
    <row r="15">
      <c r="A15" s="22" t="inlineStr">
        <is>
          <t>SCENARIO SUMMARY</t>
        </is>
      </c>
    </row>
    <row r="16">
      <c r="A16" s="23" t="inlineStr">
        <is>
          <t>Scenario Name</t>
        </is>
      </c>
      <c r="B16" s="24">
        <f>IFERROR(VLOOKUP(B9,9_PATHWAY_SCENARIOS!A:B,2,0),"Select a scenario")</f>
        <v/>
      </c>
    </row>
    <row r="17">
      <c r="A17" s="23" t="inlineStr">
        <is>
          <t>Cost per Ton</t>
        </is>
      </c>
      <c r="B17" s="24">
        <f>IFERROR(VLOOKUP(B9,9_PATHWAY_SCENARIOS!A:C,3,0),"") &amp; " $/ton"</f>
        <v/>
      </c>
    </row>
    <row r="18">
      <c r="A18" s="23" t="inlineStr">
        <is>
          <t>Timeline</t>
        </is>
      </c>
      <c r="B18" s="24">
        <f>IFERROR(VLOOKUP(B9,9_PATHWAY_SCENARIOS!A:D,4,0),"") &amp; " days"</f>
        <v/>
      </c>
    </row>
    <row r="19">
      <c r="A19" s="23" t="inlineStr">
        <is>
          <t>Number of Products</t>
        </is>
      </c>
      <c r="B19" s="24">
        <f>IFERROR(VLOOKUP(B9,9_PATHWAY_SCENARIOS!A:E,5,0),"")</f>
        <v/>
      </c>
    </row>
    <row r="20">
      <c r="A20" s="23" t="inlineStr">
        <is>
          <t>Stages Used</t>
        </is>
      </c>
      <c r="B20" s="24">
        <f>IFERROR(VLOOKUP(B9,9_PATHWAY_SCENARIOS!A:F,6,0),"") &amp; " (0→1→2→3→4→5→6)"</f>
        <v/>
      </c>
    </row>
    <row r="22">
      <c r="A22" s="22" t="inlineStr">
        <is>
          <t>STAGE PATHWAY VISUALIZATION</t>
        </is>
      </c>
    </row>
    <row r="23">
      <c r="A23" s="19" t="inlineStr">
        <is>
          <t>Stages 0-3: Base Processing</t>
        </is>
      </c>
    </row>
    <row r="24" ht="30" customHeight="1">
      <c r="A24" s="25" t="inlineStr">
        <is>
          <t>Stage 0: MECHANICAL</t>
        </is>
      </c>
      <c r="B24" s="25" t="inlineStr">
        <is>
          <t>Stage 1: CHEMICAL</t>
        </is>
      </c>
      <c r="C24" s="25" t="inlineStr">
        <is>
          <t>Stage 2: BIOLOGICAL</t>
        </is>
      </c>
      <c r="D24" s="25" t="inlineStr">
        <is>
          <t>Stage 3: COMPOST</t>
        </is>
      </c>
    </row>
    <row r="26">
      <c r="A26" s="26" t="inlineStr">
        <is>
          <t>Stages 4-6: BSF &amp; Extraction (if Scenario 3A or 3B)</t>
        </is>
      </c>
    </row>
    <row r="27" ht="30" customHeight="1">
      <c r="A27" s="27">
        <f>IF(OR(B9="3A",B9="3B"),"Stage 4: BSF","[Not used]")</f>
        <v/>
      </c>
      <c r="B27" s="27">
        <f>IF(OR(B9="3A",B9="3B"),"Stage 5: HARVEST","[Not used]")</f>
        <v/>
      </c>
      <c r="C27" s="27">
        <f>IF(OR(B9="3A",B9="3B"),"Stage 6: ENHANCEMENT","[Not used]")</f>
        <v/>
      </c>
    </row>
    <row r="29">
      <c r="A29" s="22" t="inlineStr">
        <is>
          <t>INPUT VALIDATION</t>
        </is>
      </c>
    </row>
    <row r="30">
      <c r="A30" s="19" t="inlineStr">
        <is>
          <t>Status</t>
        </is>
      </c>
      <c r="B30" s="15">
        <f>IF(AND(B5&lt;&gt;"",B6&gt;0,B7&lt;&gt;"",B9&lt;&gt;"",B10&lt;&gt;"",B11&lt;&gt;"",B12&lt;&gt;""),"✓ All inputs valid - Ready to process!","✗ Please complete all required inputs")</f>
        <v/>
      </c>
    </row>
    <row r="31">
      <c r="A31" s="19" t="inlineStr">
        <is>
          <t>Notes</t>
        </is>
      </c>
      <c r="B31" s="28">
        <f>IF(OR(B9="3A",B9="3B"),"Note: BSF Pathway (S4) is required for scenarios 3A/3B","All input fields are optional except core inputs")</f>
        <v/>
      </c>
    </row>
  </sheetData>
  <mergeCells count="7">
    <mergeCell ref="A29:E29"/>
    <mergeCell ref="A4:E4"/>
    <mergeCell ref="A2:E2"/>
    <mergeCell ref="A15:E15"/>
    <mergeCell ref="A1:E1"/>
    <mergeCell ref="A8:E8"/>
    <mergeCell ref="A22:E22"/>
  </mergeCells>
  <dataValidations count="15">
    <dataValidation sqref="B4" showDropDown="0" showInputMessage="0" showErrorMessage="0" allowBlank="0" error="Please select a valid residue type" type="list">
      <formula1>"None,EFB,OPDC,PKS,Mixed"</formula1>
    </dataValidation>
    <dataValidation sqref="B6" showDropDown="0" showInputMessage="0" showErrorMessage="0" allowBlank="0" error="Please select a valid mill" type="list">
      <formula1>"Wilmar,GAR,Astra,Custom"</formula1>
    </dataValidation>
    <dataValidation sqref="B7" showDropDown="0" showInputMessage="0" showErrorMessage="0" allowBlank="0" error="Please select a valid scenario" type="list">
      <formula1>"1,2,3A,3B,4"</formula1>
    </dataValidation>
    <dataValidation sqref="B8" showDropDown="0" showInputMessage="0" showErrorMessage="0" allowBlank="0" error="Please select a valid chemical pathway" type="list">
      <formula1>"1A,1B,1C,1D,1E,1F"</formula1>
    </dataValidation>
    <dataValidation sqref="B9" showDropDown="0" showInputMessage="0" showErrorMessage="0" allowBlank="0" error="Please select a valid biological pathway" type="list">
      <formula1>"2A,2B,2C,2D,2E,2F"</formula1>
    </dataValidation>
    <dataValidation sqref="B10" showDropDown="0" showInputMessage="0" showErrorMessage="0" allowBlank="0" error="Please select 3A or 3B" type="list">
      <formula1>"3A,3B"</formula1>
    </dataValidation>
    <dataValidation sqref="B11" showDropDown="0" showInputMessage="0" showErrorMessage="0" allowBlank="0" error="Please select 4A or 4B" type="list">
      <formula1>"4A,4B"</formula1>
    </dataValidation>
    <dataValidation sqref="B5" showDropDown="0" showInputMessage="0" showErrorMessage="0" allowBlank="0" errorTitle="Invalid Input" error="Please select a valid residue type" type="list">
      <formula1>"None,EFB,OPDC,PKS,Mixed"</formula1>
    </dataValidation>
    <dataValidation sqref="B6" showDropDown="0" showInputMessage="0" showErrorMessage="0" allowBlank="0" errorTitle="Invalid Input" error="Tonnes input must be greater than 0" type="decimal" operator="greaterThan">
      <formula1>0</formula1>
    </dataValidation>
    <dataValidation sqref="B7" showDropDown="0" showInputMessage="0" showErrorMessage="0" allowBlank="0" errorTitle="Invalid Input" error="Please select a valid mill" type="list">
      <formula1>"Wilmar,GAR,Astra,Custom"</formula1>
    </dataValidation>
    <dataValidation sqref="B9" showDropDown="0" showInputMessage="0" showErrorMessage="0" allowBlank="0" errorTitle="Invalid Input" error="Please select a valid scenario: 1, 2, 3A, 3B, or 4" type="list">
      <formula1>"1,2,3A,3B,4"</formula1>
    </dataValidation>
    <dataValidation sqref="B10" showDropDown="0" showInputMessage="0" showErrorMessage="0" allowBlank="0" errorTitle="Invalid Input" error="Please select a valid chemical pathway: 1A-1F" type="list">
      <formula1>"1A,1B,1C,1D,1E,1F"</formula1>
    </dataValidation>
    <dataValidation sqref="B11" showDropDown="0" showInputMessage="0" showErrorMessage="0" allowBlank="0" errorTitle="Invalid Input" error="Please select a valid biological pathway: 2A-2F" type="list">
      <formula1>"2A,2B,2C,2D,2E,2F"</formula1>
    </dataValidation>
    <dataValidation sqref="B12" showDropDown="0" showInputMessage="0" showErrorMessage="0" allowBlank="0" errorTitle="Invalid Input" error="Please select a valid compost pathway: 3A or 3B" type="list">
      <formula1>"3A,3B"</formula1>
    </dataValidation>
    <dataValidation sqref="B13" showDropDown="0" showInputMessage="0" showErrorMessage="0" allowBlank="0" errorTitle="Invalid Input" error="Please select a valid BSF pathway: 4A or 4B" type="list">
      <formula1>"4A,4B"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25" customHeight="1">
      <c r="A1" s="1" t="inlineStr">
        <is>
          <t>OPEX REFERENCE - User-Fillable Rates</t>
        </is>
      </c>
    </row>
    <row r="3">
      <c r="A3" s="2" t="inlineStr">
        <is>
          <t>OPEX CATEGORY</t>
        </is>
      </c>
      <c r="B3" s="2" t="inlineStr">
        <is>
          <t>UNIT</t>
        </is>
      </c>
      <c r="C3" s="2" t="inlineStr">
        <is>
          <t>YOUR COST</t>
        </is>
      </c>
    </row>
    <row r="4">
      <c r="A4" s="3" t="inlineStr">
        <is>
          <t>Fuel</t>
        </is>
      </c>
      <c r="B4" s="3" t="inlineStr">
        <is>
          <t>$/liter</t>
        </is>
      </c>
      <c r="C4" s="6" t="n"/>
    </row>
    <row r="5">
      <c r="A5" s="3" t="inlineStr">
        <is>
          <t>Transport</t>
        </is>
      </c>
      <c r="B5" s="3" t="inlineStr">
        <is>
          <t>$/km</t>
        </is>
      </c>
      <c r="C5" s="6" t="n"/>
    </row>
    <row r="6">
      <c r="A6" s="3" t="inlineStr">
        <is>
          <t>Drivers</t>
        </is>
      </c>
      <c r="B6" s="3" t="inlineStr">
        <is>
          <t>$/day</t>
        </is>
      </c>
      <c r="C6" s="6" t="n"/>
    </row>
    <row r="7">
      <c r="A7" s="3" t="inlineStr">
        <is>
          <t>Machine Operators</t>
        </is>
      </c>
      <c r="B7" s="3" t="inlineStr">
        <is>
          <t>$/day</t>
        </is>
      </c>
      <c r="C7" s="6" t="n"/>
    </row>
    <row r="8">
      <c r="A8" s="3" t="inlineStr">
        <is>
          <t>Greenhouse Operators</t>
        </is>
      </c>
      <c r="B8" s="3" t="inlineStr">
        <is>
          <t>$/day</t>
        </is>
      </c>
      <c r="C8" s="6" t="n"/>
    </row>
    <row r="9">
      <c r="A9" s="3" t="inlineStr">
        <is>
          <t>Electricity</t>
        </is>
      </c>
      <c r="B9" s="3" t="inlineStr">
        <is>
          <t>$/kWh</t>
        </is>
      </c>
      <c r="C9" s="6" t="n"/>
    </row>
    <row r="10">
      <c r="A10" s="3" t="inlineStr">
        <is>
          <t>Water</t>
        </is>
      </c>
      <c r="B10" s="3" t="inlineStr">
        <is>
          <t>$/m³</t>
        </is>
      </c>
      <c r="C10" s="6" t="n"/>
    </row>
    <row r="11">
      <c r="A11" s="3" t="inlineStr">
        <is>
          <t>Lab Analysis</t>
        </is>
      </c>
      <c r="B11" s="3" t="inlineStr">
        <is>
          <t>$/sample</t>
        </is>
      </c>
      <c r="C11" s="6" t="n"/>
    </row>
    <row r="12">
      <c r="A12" s="3" t="inlineStr">
        <is>
          <t>Packaging</t>
        </is>
      </c>
      <c r="B12" s="3" t="inlineStr">
        <is>
          <t>$/ton</t>
        </is>
      </c>
      <c r="C12" s="6" t="n"/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2 STAGE0 MECHANICAL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</cols>
  <sheetData>
    <row r="1" ht="25" customHeight="1">
      <c r="A1" s="1" t="inlineStr">
        <is>
          <t>STAGE 1 - CHEMICAL PATHWAYS REFERENCE</t>
        </is>
      </c>
    </row>
    <row r="3">
      <c r="A3" s="2" t="inlineStr">
        <is>
          <t>CODE</t>
        </is>
      </c>
      <c r="B3" s="2" t="inlineStr">
        <is>
          <t>PATHWAY NAME</t>
        </is>
      </c>
      <c r="C3" s="2" t="inlineStr">
        <is>
          <t>COST ($/ton)</t>
        </is>
      </c>
      <c r="D3" s="2" t="inlineStr">
        <is>
          <t>TIMELINE (days)</t>
        </is>
      </c>
    </row>
    <row r="4">
      <c r="A4" s="3" t="inlineStr">
        <is>
          <t>1A</t>
        </is>
      </c>
      <c r="B4" s="3" t="inlineStr">
        <is>
          <t>CaCO₃</t>
        </is>
      </c>
      <c r="C4" s="7" t="n">
        <v>2.5</v>
      </c>
      <c r="D4" s="3" t="n">
        <v>3</v>
      </c>
    </row>
    <row r="5">
      <c r="A5" s="3" t="inlineStr">
        <is>
          <t>1B</t>
        </is>
      </c>
      <c r="B5" s="3" t="inlineStr">
        <is>
          <t>NaOH</t>
        </is>
      </c>
      <c r="C5" s="7" t="n">
        <v>4.2</v>
      </c>
      <c r="D5" s="3" t="n">
        <v>2</v>
      </c>
    </row>
    <row r="6">
      <c r="A6" s="3" t="inlineStr">
        <is>
          <t>1C</t>
        </is>
      </c>
      <c r="B6" s="3" t="inlineStr">
        <is>
          <t>H₂SO₄</t>
        </is>
      </c>
      <c r="C6" s="7" t="n">
        <v>3.8</v>
      </c>
      <c r="D6" s="3" t="n">
        <v>2</v>
      </c>
    </row>
    <row r="7">
      <c r="A7" s="3" t="inlineStr">
        <is>
          <t>1D</t>
        </is>
      </c>
      <c r="B7" s="3" t="inlineStr">
        <is>
          <t>AHP</t>
        </is>
      </c>
      <c r="C7" s="7" t="n">
        <v>6.5</v>
      </c>
      <c r="D7" s="3" t="n">
        <v>3</v>
      </c>
    </row>
    <row r="8">
      <c r="A8" s="3" t="inlineStr">
        <is>
          <t>1E</t>
        </is>
      </c>
      <c r="B8" s="3" t="inlineStr">
        <is>
          <t>Hot Water</t>
        </is>
      </c>
      <c r="C8" s="7" t="n">
        <v>3.2</v>
      </c>
      <c r="D8" s="3" t="n">
        <v>4</v>
      </c>
    </row>
    <row r="9">
      <c r="A9" s="3" t="inlineStr">
        <is>
          <t>1F</t>
        </is>
      </c>
      <c r="B9" s="3" t="inlineStr">
        <is>
          <t>Enzyme</t>
        </is>
      </c>
      <c r="C9" s="7" t="n">
        <v>8</v>
      </c>
      <c r="D9" s="3" t="n">
        <v>5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3B GREENHOUSE SPEC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</cols>
  <sheetData>
    <row r="1" ht="25" customHeight="1">
      <c r="A1" s="1" t="inlineStr">
        <is>
          <t>STAGE 2 - BIOLOGICAL PATHWAYS REFERENCE</t>
        </is>
      </c>
    </row>
    <row r="3">
      <c r="A3" s="2" t="inlineStr">
        <is>
          <t>CODE</t>
        </is>
      </c>
      <c r="B3" s="2" t="inlineStr">
        <is>
          <t>PATHWAY NAME</t>
        </is>
      </c>
      <c r="C3" s="2" t="inlineStr">
        <is>
          <t>COST ($/ton)</t>
        </is>
      </c>
      <c r="D3" s="2" t="inlineStr">
        <is>
          <t>TIMELINE (days)</t>
        </is>
      </c>
    </row>
    <row r="4">
      <c r="A4" s="3" t="inlineStr">
        <is>
          <t>2A</t>
        </is>
      </c>
      <c r="B4" s="3" t="inlineStr">
        <is>
          <t>Provibio-Only</t>
        </is>
      </c>
      <c r="C4" s="7" t="n">
        <v>5.5</v>
      </c>
      <c r="D4" s="3" t="n">
        <v>30</v>
      </c>
    </row>
    <row r="5">
      <c r="A5" s="3" t="inlineStr">
        <is>
          <t>2B</t>
        </is>
      </c>
      <c r="B5" s="3" t="inlineStr">
        <is>
          <t>Enzyme+Provibio</t>
        </is>
      </c>
      <c r="C5" s="7" t="n">
        <v>13.5</v>
      </c>
      <c r="D5" s="3" t="n">
        <v>28</v>
      </c>
    </row>
    <row r="6">
      <c r="A6" s="3" t="inlineStr">
        <is>
          <t>2C</t>
        </is>
      </c>
      <c r="B6" s="3" t="inlineStr">
        <is>
          <t>Enhanced Bio</t>
        </is>
      </c>
      <c r="C6" s="7" t="n">
        <v>16.2</v>
      </c>
      <c r="D6" s="3" t="n">
        <v>35</v>
      </c>
    </row>
    <row r="7">
      <c r="A7" s="3" t="inlineStr">
        <is>
          <t>2D</t>
        </is>
      </c>
      <c r="B7" s="3" t="inlineStr">
        <is>
          <t>Rapid Bio</t>
        </is>
      </c>
      <c r="C7" s="7" t="n">
        <v>12</v>
      </c>
      <c r="D7" s="3" t="n">
        <v>18</v>
      </c>
    </row>
    <row r="8">
      <c r="A8" s="3" t="inlineStr">
        <is>
          <t>2E</t>
        </is>
      </c>
      <c r="B8" s="3" t="inlineStr">
        <is>
          <t>BSF-Prep</t>
        </is>
      </c>
      <c r="C8" s="7" t="n">
        <v>6.5</v>
      </c>
      <c r="D8" s="3" t="n">
        <v>25</v>
      </c>
    </row>
    <row r="9">
      <c r="A9" s="3" t="inlineStr">
        <is>
          <t>2F</t>
        </is>
      </c>
      <c r="B9" s="3" t="inlineStr">
        <is>
          <t>Custom</t>
        </is>
      </c>
      <c r="C9" s="7" t="n">
        <v>10</v>
      </c>
      <c r="D9" s="3" t="n">
        <v>30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4G GREENHOUSE SPEC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4H STAGE2 RESULTS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5 STAGE3 COMPOST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5A PRODUCT SPECS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6 STAGE4 BSF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7 STAGE5 DRYPACK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8 STAGE6 ENHANCE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0" customWidth="1" min="5" max="5"/>
    <col width="12" customWidth="1" min="6" max="6"/>
  </cols>
  <sheetData>
    <row r="1" ht="25" customHeight="1">
      <c r="A1" s="1" t="inlineStr">
        <is>
          <t>PATHWAY SCENARIOS - Complete Comparison</t>
        </is>
      </c>
    </row>
    <row r="3">
      <c r="A3" s="2" t="inlineStr">
        <is>
          <t>SCENARIO</t>
        </is>
      </c>
      <c r="B3" s="2" t="inlineStr">
        <is>
          <t>NAME</t>
        </is>
      </c>
      <c r="C3" s="2" t="inlineStr">
        <is>
          <t>COST ($/ton)</t>
        </is>
      </c>
      <c r="D3" s="2" t="inlineStr">
        <is>
          <t>TIMELINE (days)</t>
        </is>
      </c>
      <c r="E3" s="2" t="inlineStr">
        <is>
          <t>PRODUCTS</t>
        </is>
      </c>
      <c r="F3" s="2" t="inlineStr">
        <is>
          <t>STAGES</t>
        </is>
      </c>
    </row>
    <row r="4">
      <c r="A4" s="3" t="inlineStr">
        <is>
          <t>1</t>
        </is>
      </c>
      <c r="B4" s="3" t="inlineStr">
        <is>
          <t>MVP Compost</t>
        </is>
      </c>
      <c r="C4" s="7" t="n">
        <v>10.7</v>
      </c>
      <c r="D4" s="3" t="n">
        <v>48</v>
      </c>
      <c r="E4" s="3" t="n">
        <v>1</v>
      </c>
      <c r="F4" s="3" t="inlineStr">
        <is>
          <t>0-3</t>
        </is>
      </c>
    </row>
    <row r="5">
      <c r="A5" s="3" t="inlineStr">
        <is>
          <t>2</t>
        </is>
      </c>
      <c r="B5" s="3" t="inlineStr">
        <is>
          <t>Premium Compost</t>
        </is>
      </c>
      <c r="C5" s="7" t="n">
        <v>26.2</v>
      </c>
      <c r="D5" s="3" t="n">
        <v>52</v>
      </c>
      <c r="E5" s="3" t="n">
        <v>1</v>
      </c>
      <c r="F5" s="3" t="inlineStr">
        <is>
          <t>0-3</t>
        </is>
      </c>
    </row>
    <row r="6">
      <c r="A6" s="3" t="inlineStr">
        <is>
          <t>3A</t>
        </is>
      </c>
      <c r="B6" s="3" t="inlineStr">
        <is>
          <t>Fertiliser with BSF Extracted</t>
        </is>
      </c>
      <c r="C6" s="7" t="n">
        <v>17.5</v>
      </c>
      <c r="D6" s="3" t="n">
        <v>66</v>
      </c>
      <c r="E6" s="3" t="n">
        <v>3</v>
      </c>
      <c r="F6" s="3" t="inlineStr">
        <is>
          <t>0-6</t>
        </is>
      </c>
    </row>
    <row r="7">
      <c r="A7" s="3" t="inlineStr">
        <is>
          <t>3B</t>
        </is>
      </c>
      <c r="B7" s="3" t="inlineStr">
        <is>
          <t>Enhanced BSF Inside</t>
        </is>
      </c>
      <c r="C7" s="7" t="n">
        <v>15.8</v>
      </c>
      <c r="D7" s="3" t="n">
        <v>65</v>
      </c>
      <c r="E7" s="3" t="n">
        <v>1</v>
      </c>
      <c r="F7" s="3" t="inlineStr">
        <is>
          <t>0-6</t>
        </is>
      </c>
    </row>
    <row r="8">
      <c r="A8" s="3" t="inlineStr">
        <is>
          <t>4</t>
        </is>
      </c>
      <c r="B8" s="3" t="inlineStr">
        <is>
          <t>Rapid Market</t>
        </is>
      </c>
      <c r="C8" s="7" t="n">
        <v>17.8</v>
      </c>
      <c r="D8" s="3" t="n">
        <v>34</v>
      </c>
      <c r="E8" s="3" t="n">
        <v>1</v>
      </c>
      <c r="F8" s="3" t="inlineStr">
        <is>
          <t>0-3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9A PLANTATION COMBINATIONS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COST TRACKING MASTER - All-In-One Cost Calculation</t>
        </is>
      </c>
    </row>
    <row r="3">
      <c r="A3" t="inlineStr">
        <is>
          <t>COST COMPONENT</t>
        </is>
      </c>
      <c r="B3" s="2" t="inlineStr">
        <is>
          <t>Scenario 1</t>
        </is>
      </c>
      <c r="C3" s="2" t="inlineStr">
        <is>
          <t>Scenario 2</t>
        </is>
      </c>
      <c r="D3" s="2" t="inlineStr">
        <is>
          <t>Scenario 3A</t>
        </is>
      </c>
      <c r="E3" s="2" t="inlineStr">
        <is>
          <t>Scenario 3B</t>
        </is>
      </c>
      <c r="F3" s="2" t="inlineStr">
        <is>
          <t>Scenario 4</t>
        </is>
      </c>
    </row>
    <row r="4">
      <c r="A4" s="3" t="inlineStr">
        <is>
          <t>COGS ITEMS</t>
        </is>
      </c>
      <c r="B4" s="3" t="n"/>
      <c r="C4" s="3" t="n"/>
      <c r="D4" s="3" t="n"/>
      <c r="E4" s="3" t="n"/>
      <c r="F4" s="3" t="n"/>
    </row>
    <row r="5">
      <c r="A5" s="3" t="inlineStr">
        <is>
          <t xml:space="preserve">  Palm Residue</t>
        </is>
      </c>
      <c r="B5" s="3" t="n"/>
      <c r="C5" s="3" t="n"/>
      <c r="D5" s="3" t="n"/>
      <c r="E5" s="3" t="n"/>
      <c r="F5" s="3" t="n"/>
    </row>
    <row r="6">
      <c r="A6" s="3" t="inlineStr">
        <is>
          <t xml:space="preserve">  Chemical (Stage 1)</t>
        </is>
      </c>
      <c r="B6" s="3" t="n"/>
      <c r="C6" s="3" t="n"/>
      <c r="D6" s="3" t="n"/>
      <c r="E6" s="3" t="n"/>
      <c r="F6" s="3" t="n"/>
    </row>
    <row r="7">
      <c r="A7" s="3" t="inlineStr">
        <is>
          <t xml:space="preserve">  Biological (Stage 2)</t>
        </is>
      </c>
      <c r="B7" s="3" t="n"/>
      <c r="C7" s="3" t="n"/>
      <c r="D7" s="3" t="n"/>
      <c r="E7" s="3" t="n"/>
      <c r="F7" s="3" t="n"/>
    </row>
    <row r="8">
      <c r="A8" s="3" t="inlineStr">
        <is>
          <t xml:space="preserve">  Compost Finishing (Stage 3)</t>
        </is>
      </c>
      <c r="B8" s="3" t="n"/>
      <c r="C8" s="3" t="n"/>
      <c r="D8" s="3" t="n"/>
      <c r="E8" s="3" t="n"/>
      <c r="F8" s="3" t="n"/>
    </row>
    <row r="9">
      <c r="A9" s="3" t="inlineStr">
        <is>
          <t xml:space="preserve">  BSF Inoculation (Stage 4)</t>
        </is>
      </c>
      <c r="B9" s="3" t="n"/>
      <c r="C9" s="3" t="n"/>
      <c r="D9" s="3" t="n"/>
      <c r="E9" s="3" t="n"/>
      <c r="F9" s="3" t="n"/>
    </row>
    <row r="10">
      <c r="A10" s="3" t="inlineStr">
        <is>
          <t xml:space="preserve">  BSF Processing (Stage 5-6)</t>
        </is>
      </c>
      <c r="B10" s="3" t="n"/>
      <c r="C10" s="3" t="n"/>
      <c r="D10" s="3" t="n"/>
      <c r="E10" s="3" t="n"/>
      <c r="F10" s="3" t="n"/>
    </row>
    <row r="11">
      <c r="A11" s="3" t="inlineStr"/>
      <c r="B11" s="3" t="n"/>
      <c r="C11" s="3" t="n"/>
      <c r="D11" s="3" t="n"/>
      <c r="E11" s="3" t="n"/>
      <c r="F11" s="3" t="n"/>
    </row>
    <row r="12">
      <c r="A12" s="3" t="inlineStr">
        <is>
          <t>OPEX ITEMS</t>
        </is>
      </c>
      <c r="B12" s="3" t="n"/>
      <c r="C12" s="3" t="n"/>
      <c r="D12" s="3" t="n"/>
      <c r="E12" s="3" t="n"/>
      <c r="F12" s="3" t="n"/>
    </row>
    <row r="13">
      <c r="A13" s="3" t="inlineStr">
        <is>
          <t xml:space="preserve">  Labor (Operators)</t>
        </is>
      </c>
      <c r="B13" s="3" t="n"/>
      <c r="C13" s="3" t="n"/>
      <c r="D13" s="3" t="n"/>
      <c r="E13" s="3" t="n"/>
      <c r="F13" s="3" t="n"/>
    </row>
    <row r="14">
      <c r="A14" s="3" t="inlineStr">
        <is>
          <t xml:space="preserve">  Fuel</t>
        </is>
      </c>
      <c r="B14" s="3" t="n"/>
      <c r="C14" s="3" t="n"/>
      <c r="D14" s="3" t="n"/>
      <c r="E14" s="3" t="n"/>
      <c r="F14" s="3" t="n"/>
    </row>
    <row r="15">
      <c r="A15" s="3" t="inlineStr">
        <is>
          <t xml:space="preserve">  Utilities (Electricity, Water)</t>
        </is>
      </c>
      <c r="B15" s="3" t="n"/>
      <c r="C15" s="3" t="n"/>
      <c r="D15" s="3" t="n"/>
      <c r="E15" s="3" t="n"/>
      <c r="F15" s="3" t="n"/>
    </row>
    <row r="16">
      <c r="A16" s="3" t="inlineStr">
        <is>
          <t xml:space="preserve">  Lab Analysis &amp; Packaging</t>
        </is>
      </c>
      <c r="B16" s="3" t="n"/>
      <c r="C16" s="3" t="n"/>
      <c r="D16" s="3" t="n"/>
      <c r="E16" s="3" t="n"/>
      <c r="F16" s="3" t="n"/>
    </row>
    <row r="17">
      <c r="A17" s="3" t="inlineStr"/>
      <c r="B17" s="3" t="n"/>
      <c r="C17" s="3" t="n"/>
      <c r="D17" s="3" t="n"/>
      <c r="E17" s="3" t="n"/>
      <c r="F17" s="3" t="n"/>
    </row>
    <row r="18">
      <c r="A18" s="8" t="inlineStr">
        <is>
          <t>SUBTOTAL OPEX</t>
        </is>
      </c>
      <c r="B18" s="3" t="n"/>
      <c r="C18" s="3" t="n"/>
      <c r="D18" s="3" t="n"/>
      <c r="E18" s="3" t="n"/>
      <c r="F18" s="3" t="n"/>
    </row>
    <row r="19">
      <c r="A19" s="3" t="inlineStr"/>
      <c r="B19" s="3" t="n"/>
      <c r="C19" s="3" t="n"/>
      <c r="D19" s="3" t="n"/>
      <c r="E19" s="3" t="n"/>
      <c r="F19" s="3" t="n"/>
    </row>
    <row r="20">
      <c r="A20" s="8" t="inlineStr">
        <is>
          <t>TOTAL COST PER TON</t>
        </is>
      </c>
      <c r="B20" s="3" t="n"/>
      <c r="C20" s="3" t="n"/>
      <c r="D20" s="3" t="n"/>
      <c r="E20" s="3" t="n"/>
      <c r="F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2026-02-22T05:52:25Z</dcterms:created>
  <dcterms:modified xsi:type="dcterms:W3CDTF">2026-04-09T17:53:55Z</dcterms:modified>
</cp:coreProperties>
</file>